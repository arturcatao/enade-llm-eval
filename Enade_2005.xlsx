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ões" sheetId="1" r:id="rId5"/>
    <sheet state="visible" name="Respostas LLM" sheetId="2" r:id="rId6"/>
    <sheet state="visible" name="Consenso" sheetId="3" r:id="rId7"/>
    <sheet state="visible" name="Prompts" sheetId="4" r:id="rId8"/>
    <sheet state="visible" name="Gabarito_INEP" sheetId="5" r:id="rId9"/>
  </sheets>
  <definedNames/>
  <calcPr/>
</workbook>
</file>

<file path=xl/sharedStrings.xml><?xml version="1.0" encoding="utf-8"?>
<sst xmlns="http://schemas.openxmlformats.org/spreadsheetml/2006/main" count="365" uniqueCount="231">
  <si>
    <t>Questão</t>
  </si>
  <si>
    <t xml:space="preserve">Questão </t>
  </si>
  <si>
    <t>Nome do prompt</t>
  </si>
  <si>
    <t>LLM</t>
  </si>
  <si>
    <t>Versão</t>
  </si>
  <si>
    <t>Modelo</t>
  </si>
  <si>
    <t>ChatGPT</t>
  </si>
  <si>
    <t>Finalidade</t>
  </si>
  <si>
    <t>Data</t>
  </si>
  <si>
    <t>Tipo</t>
  </si>
  <si>
    <t>Modelos utilizados</t>
  </si>
  <si>
    <t>Alternativa</t>
  </si>
  <si>
    <t>Gemini</t>
  </si>
  <si>
    <t>Enunciado</t>
  </si>
  <si>
    <t>Data de início</t>
  </si>
  <si>
    <t>Confiança</t>
  </si>
  <si>
    <t>Claude</t>
  </si>
  <si>
    <t>Possui figura?</t>
  </si>
  <si>
    <t>Status</t>
  </si>
  <si>
    <t>Consenso</t>
  </si>
  <si>
    <t>Dificuldade</t>
  </si>
  <si>
    <t>Situação</t>
  </si>
  <si>
    <t>Texto completo do prompt</t>
  </si>
  <si>
    <t>Ambiguidade</t>
  </si>
  <si>
    <t>Resposta Majoritária</t>
  </si>
  <si>
    <t>Força dos distratores</t>
  </si>
  <si>
    <t>Questão 42</t>
  </si>
  <si>
    <t>Gabarito INEP</t>
  </si>
  <si>
    <t>Prompt resolvedor</t>
  </si>
  <si>
    <t>Tema</t>
  </si>
  <si>
    <t>Subtema</t>
  </si>
  <si>
    <t>Acertos</t>
  </si>
  <si>
    <t>Justificativa da resposta</t>
  </si>
  <si>
    <t>Confiança média</t>
  </si>
  <si>
    <t>Análise das alternativas</t>
  </si>
  <si>
    <t>Dificuldade média</t>
  </si>
  <si>
    <t>Ambiguidade média</t>
  </si>
  <si>
    <t>Justificativa da ambiguidade</t>
  </si>
  <si>
    <t>Justificativa dos distratores</t>
  </si>
  <si>
    <t>Ambiguidade máxima</t>
  </si>
  <si>
    <t xml:space="preserve">Componente Específico </t>
  </si>
  <si>
    <t>Força dos distratores média</t>
  </si>
  <si>
    <t>42</t>
  </si>
  <si>
    <t>V1.2</t>
  </si>
  <si>
    <t>Concorda com INEP?</t>
  </si>
  <si>
    <t>Classificação do resultado</t>
  </si>
  <si>
    <t>QUESTÃO 42
Duas possibilidades para a construção de sistemas com múltiplos processadores são: processadores idênticos com um único espaço de endereçamento interligados por um barramento único (SMP); e máquinas monoprocessadas conectadas por uma rede (cluster). Com relação a esses sistemas, assinale a opção correta.
A) A comunicação entre processadores de um cluster é, potencialmente, muito mais rápida que a comunicação entre processadores de um sistema SMP, pois redes atuais possuem taxa de transmissão da ordem de gigabits/s, enquanto as melhores memórias operam somente com freqüências da ordem de centenas de megahertz.
B) Comunicação entre processos pode ser implementada de forma muito mais eficiente em um cluster que em um sistema SMP, pois, nesse último, todos os processos precisam compartilhar os mesmos dispositivos de entrada e saída.
C) Em um sistema SMP, é mais simples substituir um processador defeituoso, pois, em um cluster, toda a rede de comunicação deve ser desabilitada para que a troca seja efetuada sem prejudicar a troca de mensagens entre os processos.
D) Alocação de memória para processos é muito mais simples em um cluster, pois cada processador executa um único processo na sua memória exclusiva e, dessa forma, não existe o problema de distribuição de processos no espaço de endereçamento único da máquina SMP.
E) Em um cluster, o custo da escalabilidade é muito menor, pois, para a interconexão entre as máquinas, podem ser utilizados equipamentos comuns usados em uma rede local de computadores, ao passo que um sistema SMP exige conexões extras no barramento e gabinetes especiais.</t>
  </si>
  <si>
    <t>Resolução definitiva</t>
  </si>
  <si>
    <t>Não</t>
  </si>
  <si>
    <t>ChatGPT; Gemini; Claude</t>
  </si>
  <si>
    <t>Em resolução pelas LLMs</t>
  </si>
  <si>
    <t>GPT-5.6 Luna</t>
  </si>
  <si>
    <t>E</t>
  </si>
  <si>
    <t>Ativo</t>
  </si>
  <si>
    <t>Você atuará como especialista na resolução de questões objetivas de nível superior.
Resolva a questão apresentada de maneira independente.
IMPORTANTE:
- Não utilize pesquisa na internet, ferramentas de busca, fontes externas, gabaritos ou respostas previamente publicadas.
- Não tente identificar ou inferir a origem da questão ou seu gabarito oficial.
- Baseie sua resposta exclusivamente no enunciado, nas alternativas e no conhecimento necessário para resolver a questão.
- Se houver inconsistência, insuficiência de informação ou possível ambiguidade, sinalize-a.
- Não altere os critérios de avaliação definidos abaixo.
- Considere esta sua única tentativa de resolução: não revise sua alternativa escolhida posteriormente.
- Não utilize respostas anteriores ou respostas produzidas por outros modelos.
- Diferencie explicitamente ambiguidade da questão e força dos distratores. Uma questão pode não ser ambígua e, ainda assim, apresentar distratores fortes.
Apresente obrigatoriamente sua resposta no seguinte formato:
ALTERNATIVA ESCOLHIDA:
[A, B, C, D ou E]
CONFIANÇA AUTODECLARADA:
[valor inteiro de 0 a 100]
A confiança representa apenas seu grau de segurança na resposta apresentada, não uma probabilidade estatística de acerto.
DIFICULDADE:
[valor inteiro de 1 a 5]
Utilize obrigatoriamente esta escala:
1 = Muito fácil:
Exige reconhecimento direto de conceito ou identificação de informação explícita no enunciado.
2 = Fácil:
Exige aplicação simples de um conceito ou pequeno número de etapas de raciocínio.
3 = Média:
Exige interpretação, articulação de dois ou mais conceitos ou algumas etapas de raciocínio.
4 = Difícil:
Exige integração conceitual, análise cuidadosa das alternativas ou várias etapas de raciocínio.
5 = Muito difícil:
Exige conhecimento aprofundado, raciocínio complexo, integração de múltiplos conceitos ou análise técnica particularmente exigente.
AMBIGUIDADE:
[valor inteiro de 0 a 2]
Avalie exclusivamente a clareza e a suficiência do enunciado e das alternativas para determinar uma resposta correta.
Utilize obrigatoriamente esta escala:
0 = Sem ambiguidade:
O enunciado fornece informações suficientes e existe uma alternativa claramente superior às demais.
1 = Ambiguidade menor:
Há algum termo, construção textual ou aspecto interpretativo que pode gerar dúvida, mas ainda é possível identificar uma alternativa claramente mais adequada.
2 = Ambiguidade relevante:
Há insuficiência de informação, formulação problemática ou duas ou mais interpretações plausíveis que podem conduzir a respostas diferentes.
FORÇA DOS DISTRATORES:
[valor inteiro de 0 a 2]
Considere como distratores as alternativas incorretas elaboradas de maneira plausível para competir com a alternativa correta.
Utilize obrigatoriamente esta escala:
0 = Distratores fracos:
As alternativas incorretas podem ser descartadas facilmente por quem domina os conceitos básicos necessários.
1 = Distratores moderados:
Há pelo menos uma alternativa incorreta plausível, mas a resposta correta permanece claramente superior após análise conceitual.
2 = Distratores fortes:
Uma ou mais alternativas incorretas são conceitualmente próximas da resposta correta, parcialmente verdadeiras, utilizam conceitos corretos em contexto inadequado ou exigem análise cuidadosa para serem descartadas.
TEMA PRINCIPAL:
[tema]
SUBTEMA:
[subtema]
JUSTIFICATIVA DA RESPOSTA:
Explique de maneira técnica, objetiva e suficientemente detalhada por que a alternativa escolhida é correta.
ANÁLISE DAS ALTERNATIVAS:
A:
Explique por que está correta ou incorreta.
B:
Explique por que está correta ou incorreta.
C:
Explique por que está correta ou incorreta.
D:
Explique por que está correta ou incorreta.
E:
Explique por que está correta ou incorreta.
JUSTIFICATIVA DA AMBIGUIDADE:
Explique brevemente por que atribuiu o nível 0, 1 ou 2. Caso exista ambiguidade, identifique especificamente o trecho, conceito ou aspecto responsável por ela.
JUSTIFICATIVA DOS DISTRATORES:
Explique brevemente por que atribuiu o nível 0, 1 ou 2. Identifique, quando houver, quais alternativas funcionam como os principais distratores e por que podem parecer plausíveis.
Apresente somente os campos solicitados, sem comentários adicionais.
QUESTÃO A SER ANALISADA:
[COLE A QUESTÃO COMPLETA AQUI]</t>
  </si>
  <si>
    <t>Questão 48</t>
  </si>
  <si>
    <t>Sistemas multiprocessadores</t>
  </si>
  <si>
    <t>SMP versus cluster: comunicação, memória e escalabilidade</t>
  </si>
  <si>
    <t>QUESTÃO 48
Considerando o diagrama de Hasse apresentado acima, assinale a opção que apresenta uma lista ordenada, da esquerda para a direita, que preserva a ordem do diagrama.
A) Marcos, José Roberto, Emerson, Ronaldo, Adriano
B) Emerson, Marcos, Ronaldo, Adriano, José Roberto
C) Adriano, Ronaldo, José Roberto, Marcos, Emerson
D) Ronaldo, Marcos, Emerson, Adriano, José Roberto
E) Marcos, Adriano, Emerson, José Roberto, Ronaldo</t>
  </si>
  <si>
    <t>JUSTIFICATIVA DA RESPOSTA:
A alternativa E é correta. Em um cluster, a expansão do sistema pode ser feita adicionando máquinas independentes conectadas por uma rede, utilizando, em princípio, equipamentos e tecnologias de rede convencionais. Isso tende a reduzir o custo de escalabilidade.
Já um sistema SMP (Symmetric Multiprocessing) possui múltiplos processadores compartilhando um único espaço de endereçamento e recursos do sistema, com uma interconexão de alto desempenho. A expansão desse tipo de sistema depende de hardware específico, como mecanismos de interconexão e barramentos adequados, podendo exigir equipamentos e arquitetura mais especializados.
Portanto, a comparação apresentada na alternativa E está de acordo com as características gerais desses dois modelos.</t>
  </si>
  <si>
    <t>Sim</t>
  </si>
  <si>
    <t>Prompt Judge</t>
  </si>
  <si>
    <t>ANÁLISE DAS ALTERNATIVAS:
A:
Incorreta. A comparação mistura unidades e conceitos diferentes. A velocidade de uma rede em gigabits/s não pode ser diretamente comparada à frequência de operação da memória em megahertz. Além disso, a comunicação em um SMP ocorre por uma interconexão de alta velocidade e acesso à memória compartilhada, enquanto a comunicação em um cluster depende da rede, normalmente apresentando maior latência.
B:
Incorreta. Em um SMP, os processos não precisam compartilhar os mesmos dispositivos de entrada e saída para realizar comunicação entre processos. A comunicação pode ocorrer por meio da memória compartilhada e de mecanismos de sincronização. O compartilhamento de dispositivos de E/S não constitui uma vantagem de cluster para comunicação entre processos.
C:
Incorreta. Em um cluster, as máquinas são relativamente independentes. A substituição de um nó defeituoso não exige desabilitar toda a rede de comunicação. Os demais nós podem continuar funcionando e se comunicando.
D:
Incorreta. A afirmação pressupõe que cada processador de um cluster executa necessariamente um único processo, o que não é verdade. Uma máquina de um cluster pode executar vários processos. Além disso, a distribuição de processos entre os nós continua sendo uma questão relevante em sistemas distribuídos.
E:
Correta. Um cluster pode ser construído a partir de máquinas independentes conectadas por uma rede convencional, permitindo expansão incremental pela adição de novos nós. Em contraste, a expansão de um SMP normalmente depende de uma arquitetura de hardware compartilhada e de interconexões específicas, tornando sua escalabilidade física mais especializada e potencialmente mais cara.</t>
  </si>
  <si>
    <t>JUSTIFICATIVA DA AMBIGUIDADE:
0 — Sem ambiguidade. O conceito central está suficientemente definido e a alternativa E apresenta uma característica típica da escalabilidade de clusters. As demais alternativas contêm erros conceituais identificáveis.</t>
  </si>
  <si>
    <t>V1.1</t>
  </si>
  <si>
    <t>JUSTIFICATIVA DOS DISTRATORES:
2 — Distratores fortes. As alternativas A, C e D utilizam características reais de redes, SMPs ou clusters, mas as aplicam de maneira incorreta. A alternativa A, especialmente, pode parecer plausível por comparar taxas de transmissão, mas confunde frequência com taxa efetiva de transferência e ignora a diferença de latência entre memória e rede. A alternativa D também explora corretamente a existência de memória local em nós de um cluster, mas erra ao afirmar que cada processador executa apenas um processo.</t>
  </si>
  <si>
    <t>Avaliação e seleção da resposta-base</t>
  </si>
  <si>
    <t>Mistral Medium</t>
  </si>
  <si>
    <t>Questão 50</t>
  </si>
  <si>
    <t>QUESTÃO 50
Acerca de paradigmas de linguagens de programação, julgue os itens a seguir.
I. Linguagens procedurais facilitam a legibilidade e a documentação do software.
II. Linguagens declarativas facilitam o desenvolvimento de sistemas de apoio à decisão.
III. Linguagens funcionais facilitam a definição de requisitos e a decomposição funcional.
IV. Linguagens estruturadas promovem o forte acoplamento entre dados e funções.
V. Linguagens orientadas a objeto permitem reduzir custos de desenvolvimento e manutenção.
Estão certos apenas os itens
A) I e II.
B) I e IV.
C) II e III.
D) III e V.
E) IV e V.</t>
  </si>
  <si>
    <t>Você atuará como avaliador independente da qualidade de três soluções produzidas para uma questão objetiva de nível superior.
Você receberá:
1. o enunciado integral da questão;
2. o gabarito oficial;
3. três respostas anonimizadas, denominadas Resposta A, Resposta B e Resposta C.
Sua função é avaliar a qualidade técnica, lógica e pedagógica das três soluções e identificar qual delas apresenta a melhor fundamentação para servir de base à elaboração de um gabarito comentado.
IMPORTANTE:
- Não utilize pesquisa na internet, ferramentas de busca ou fontes externas.
- Baseie sua avaliação exclusivamente no enunciado, no gabarito oficial fornecido e nas três respostas apresentadas.
- Não tente identificar qual modelo produziu cada resposta.
- Não utilize informações sobre confiança, dificuldade ou ambiguidade dos modelos, mesmo que tente inferi-las.
- Avalie cada resposta de maneira independente.
- Não escolha automaticamente uma resposta apenas porque ela coincide com o gabarito oficial; avalie também a qualidade da fundamentação apresentada.
- Entretanto, para ser considerada elegível como resposta-base do gabarito comentado, a alternativa escolhida pela resposta deve coincidir com o gabarito oficial.
- Caso uma resposta apresente alternativa incorreta, ainda assim avalie normalmente sua qualidade nos critérios estabelecidos, mas classifique-a como NÃO ELEGÍVEL para servir de resposta-base.
- Considere o gabarito oficial como referência institucional.
- Caso identifique possível inconsistência relevante entre o enunciado e o gabarito oficial, sinalize-a e recomende revisão humana, sem substituir unilateralmente o gabarito.
- É permitido declarar empate técnico entre duas ou mais respostas quando não houver diferença relevante de qualidade.
- Não force a escolha de uma única resposta quando houver empate técnico justificável.
Avalie separadamente as Respostas A, B e C segundo os seguintes critérios, atribuindo de 0 a 5 pontos em cada um:
1. CORREÇÃO CONCEITUAL
0 = conteúdo conceitualmente incorreto.
5 = conteúdo conceitualmente correto, preciso e sem erros relevantes.
2. COERÊNCIA LÓGICA
0 = raciocínio contraditório, inconsistente ou sem conexão lógica.
5 = raciocínio plenamente consistente e logicamente estruturado.
3. FUNDAMENTAÇÃO
0 = ausência de fundamentação ou justificativa inadequada.
5 = fundamentação completa, tecnicamente adequada e suficiente para sustentar a resposta.
4. ANÁLISE DOS DISTRATORES
0 = alternativas incorretas não são analisadas ou são analisadas incorretamente.
5 = alternativas são analisadas adequadamente, identificando corretamente por que a alternativa correta é superior aos distratores.
5. CLAREZA PEDAGÓGICA
0 = explicação confusa ou inadequada para fins educacionais.
5 = explicação clara, didática, objetiva e útil para estudantes.
6. ADERÊNCIA AO ENUNCIADO
0 = ignora, interpreta incorretamente ou distorce elementos relevantes do enunciado.
5 = utiliza corretamente e de forma precisa as informações fornecidas pela questão.
Para cada resposta utilize obrigatoriamente o seguinte formato:
RESPOSTA A
- Alternativa escolhida:
- Correção conceitual: X/5
- Coerência lógica: X/5
- Fundamentação: X/5
- Análise dos distratores: X/5
- Clareza pedagógica: X/5
- Aderência ao enunciado: X/5
- Total: X/30
- Elegível como resposta-base: [Sim ou Não]
- Principal qualidade:
- Principal problema:
Repita exatamente a mesma estrutura para RESPOSTA B e RESPOSTA C.
Após avaliar as três respostas, apresente:
RESPOSTAS ELEGÍVEIS PARA O GABARITO COMENTADO:
[indique A, B, C, combinações entre elas ou Nenhuma]
MELHOR RESPOSTA PARA SERVIR DE BASE AO GABARITO COMENTADO:
[A, B, C ou EMPATE entre as respostas]
JUSTIFICATIVA DA ESCOLHA:
Explique objetivamente por que essa resposta apresenta melhor qualidade técnica e pedagógica entre as respostas elegíveis.
EMPATE TÉCNICO:
[Sim ou Não]
Se Sim:
Indique quais respostas estão empatadas e explique por que não existe diferença relevante suficiente para selecionar uma delas isoladamente.
DIVERGÊNCIAS RELEVANTES:
Identifique erros conceituais, interpretações divergentes, fragilidades de fundamentação ou problemas relevantes encontrados nas três respostas.
RESPOSTA-BASE RECOMENDADA:
[A, B, C, SÍNTESE DE A+B, SÍNTESE DE A+C, SÍNTESE DE B+C, SÍNTESE DE A+B+C ou NENHUMA]
A resposta-base recomendada deve considerar apenas respostas elegíveis.
REVISÃO HUMANA RECOMENDADA:
[Sim ou Não]
JUSTIFICATIVA DA REVISÃO HUMANA:
Informe objetivamente o motivo.
Caso todas as respostas sejam inadequadas, exista possível problema no gabarito oficial ou não seja possível selecionar uma base confiável, obrigatoriamente recomende revisão humana.
QUESTÃO:
[COLE A QUESTÃO COMPLETA]
GABARITO OFICIAL:
[COLE O GABARITO]
RESPOSTA A:
[COLE A RESPOSTA ANONIMIZADA]
RESPOSTA B:
[COLE A RESPOSTA ANONIMIZADA]
RESPOSTA C:
[COLE A RESPOSTA ANONIMIZADA]</t>
  </si>
  <si>
    <t>Questão 53</t>
  </si>
  <si>
    <t>Gemini 3.6 Flash</t>
  </si>
  <si>
    <t xml:space="preserve">QUESTÃO 53
O problema do buffer limitado de tamanho N é um problema clássico de sincronização de processos: um grupo de processos utiliza um buffer de tamanho N para armazenar temporariamente itens produzidos; processos produtores produzem os itens, um a um, e os armazenam no buffer; processos consumidores retiram os itens do buffer, um a um, para processamento. O problema do buffer limitado de tamanho N pode ser resolvido com a utilização de semáforos, que são mecanismos de software para controle de concorrência entre processos. Duas operações são definidas para um semáforo s: wait(s) e signal(s).
Considere o problema do buffer limitado de tamanho N cujos pseudocódigos dos processos produtor e consumidor estão mostrados na figura apresentada acima. Pode-se resolver esse problema com a utilização dos semáforos mutex, cheio e vazio, inicializados, respectivamente, com 1, 0 e N.
A partir dessas informações, para que o problema do buffer limitado de tamanho N cujos pseudocódigos foram apresentados possa ser resolvido a partir do uso dos semáforos mutex, cheio e vazio, é necessário que comando_a, comando_b, comando_c, comando_d, comando_e, comando_f, comando_g e comando_h correspondam, respectivamente, às operações
A) wait(vazio), wait(mutex), signal(mutex), signal(cheio), wait(cheio), wait(mutex), signal(mutex) e signal(vazio).
B) wait(cheio), wait(mutex), signal(mutex), signal(vazio), wait(vazio), signal(mutex), signal(mutex) e wait(cheio).
C) wait(mutex), wait(vazio), signal(cheio), signal(mutex), wait(mutex), wait(vazio), signal(cheio) e signal(mutex).
D) wait(mutex), wait(vazio), signal(cheio), signal(mutex), wait(mutex), wait(cheio), signal(vazio) e signal(mutex).
E) wait(vazio), signal(mutex), signal(cheio), wait(mutex), wait(cheio), signal(mutex), signal(vazio) e signal(mutex).
</t>
  </si>
  <si>
    <t>Revisão das respostas finais</t>
  </si>
  <si>
    <t>Arquitetura de Computadores</t>
  </si>
  <si>
    <t>Sistemas Multiprocessados (SMP vs. Clusters)</t>
  </si>
  <si>
    <t>Questão 58</t>
  </si>
  <si>
    <t>JUSTIFICATIVA DA RESPOSTA:
A alternativa E está correta pois expressa com precisão a vantagem econômica e de infraestrutura dos clusters. Em um cluster, a expansão do sistema (escalabilidade) é feita adicionando computadores convencionais (off-the-shelf) interligados por equipamentos de rede local comuns (como switches e cabos Ethernet padrão). Por outro lado, aumentar a escala de um sistema SMP (Symmetric Multiprocessing) mantém a exigência de um espaço de endereçamento único e coerência de cache por hardware, o que exige gabinetes especiais, barramentos proprietários complexos e placas-mãe de alto custo para evitar gargalos de contenda de memória.</t>
  </si>
  <si>
    <t xml:space="preserve">QUESTÃO 58
Uma forma de analisar e comparar o desempenho de algoritmos de busca heurística é utilizar um problema bem conhecido como referência. Um exemplo desse tipo de problema é o cálculo de rotas entre diferentes cidades. No grafo ilustrado acima, cada nó representa uma cidade distinta, e cada ramo, uma rodovia que interliga as cidades representadas pelos nós que ele une, cujo peso indica a distância, em km, entre essas cidades pela rodovia.
Suponha que se deseje encontrar a melhor rota entre as cidades A e M, indicadas nesse grafo. Considere, ainda, os valores indicados na tabela abaixo como distância em linha reta, em km, de cada cidade para a cidade M. A partir dessas informações, julgue os itens seguintes, relativos a algoritmos de busca.
I. Utilizando-se o algoritmo A*, a rota entre A e M encontrada no problema acima é ACDFLM e o custo do caminho é 56,18.
II. Utilizando-se a busca gulosa, a rota encontrada no problema acima é ACDFLM.
III. Para utilizar algoritmos de busca heurística, deve-se definir uma heurística que superestime o custo da solução.
IV. O A* é um algoritmo ótimo e completo quando heurísticas admissíveis são utilizadas.
V. No simulated annealing, é possível haver movimentos para um estado com avaliação pior do que a do estado corrente, dependendo da temperatura do processo e da probabilidade de escolha.
Estão certos apenas os itens
A) I, II e III.
B) I, IV e V.
C) I, III e V.
D) II, III e IV.
E) II, IV e V. </t>
  </si>
  <si>
    <t>ANÁLISE DAS ALTERNATIVAS:
A: Incorreta. A comunicação via memória compartilhada em um sistema SMP possui latência na faixa de nanossegundos e largura de banda na ordem de dezenas ou centenas de gigabytes por segundo (GB/s), sendo significativamente mais rápida do que a comunicação por rede em clusters (que possui latência na faixa de micro/milissegundos e taxas de transmissão na ordem de gigabits por segundo — Gbps).
B: Incorreta. A comunicação entre processos (IPC) é muito mais eficiente em um SMP do que em um cluster, pois o SMP permite a troca direta de dados via memória compartilhada. Em clusters, a IPC necessita de passagem de mensagens pela rede, o que adiciona o overhead de protocolos de comunicação.
C: Incorreta. Em um cluster, a substituição de um nó defeituoso pode ser feita isoladamente sem a necessidade de desabilitar toda a rede de comunicação ou interromper os demais nós. Em sistemas SMP, por compartilharem barramento e memória, a falha em um componente frequentemente requer a interrupção completa do sistema para manutenção.
D: Incorreta. A alocação e o gerenciamento de memória não são limitados a um único processo por processador em clusters, visto que cada nó executa seu próprio sistema operacional e suporta múltiplos processos. Além disso, a programação e a distribuição de tarefas em arquiteturas de memória distribuída são mais complexas do que no espaço de endereçamento único do SMP.
E: Correta. A escalabilidade de um cluster apresenta custo muito inferior por utilizar componentes e infraestrutura de rede local padronizados e de baixo custo comercial, ao passo que a expansão de um SMP exige hardware especializado e barramentos proprietários de alto custo.</t>
  </si>
  <si>
    <t>JUSTIFICATIVA DA AMBIGUIDADE:
Atribuiu-se nível 0 (Sem ambiguidade) porque o enunciado define de forma precisa as duas arquiteturas comparadas e a alternativa E apresenta uma afirmação tecnicamente correta e sem margem para dupla interpretação.</t>
  </si>
  <si>
    <t>"""
    Monta o prompt enviado ao Mistral.
    `dados` é um dicionário com os campos já resolvidos pelo main.py
    (nenhum dado objetivo deve ser inferido ou inventado pelo modelo):
      - numero               (int)
      - enunciado            (str)
      - gabarito_inep        (str ou None)
      - situacao_oficial     (str ou None)
      - resposta_avaliada    (str ou None)  -- vem da coluna
                                                "Gabarito comentado final"
      - modelo_base          (str ou None)
    Não existe, separadamente, um "gabarito comentado oficial" para
    comparação: a única referência autorizada para a alternativa
    correta é `gabarito_inep`.
    Quando a Situação oficial for "Anulada", a explicacao_final deve ser
    exatamente "QUESTÃO ANULADA" — o bloco de regra correspondente só é
    injetado no prompt nesse caso.
    """
    numero_questao = dados["numero"]
    enunciado = dados["enunciado"]
    gabarito_inep = dados.get("gabarito_inep")
    if gabarito_inep is None or str(gabarito_inep).strip() == "":
        texto_gabarito_inep = (
            "[NÃO INFORMADO — não existe Gabarito INEP cadastrado "
            "para esta questão]"
        )
    else:
        texto_gabarito_inep = str(gabarito_inep).strip()
    situacao_oficial = dados.get("situacao_oficial")
    if situacao_oficial is None or str(situacao_oficial).strip() == "":
        texto_situacao = "[NÃO INFORMADA]"
    else:
        texto_situacao = str(situacao_oficial).strip()
    # Decisão determinística feita em Python: o modelo não precisa
    # descobrir nem inferir se a questão está anulada.
    anulada = texto_situacao.strip().lower() == "anulada"
    resposta_avaliada = dados.get("resposta_avaliada")
    if resposta_avaliada is None or str(resposta_avaliada).strip() == "":
        texto_resposta_avaliada = (
            "[NENHUMA RESPOSTA FOI FORNECIDA PARA ESTA QUESTÃO — "
            "NÃO EXISTE RESPOSTA PARA AVALIAR]"
        )
    else:
        texto_resposta_avaliada = str(resposta_avaliada).strip()
    modelo_base = dados.get("modelo_base")
    if modelo_base is None or str(modelo_base).strip() == "":
        texto_modelo_base = "Não informado"
    else:
        texto_modelo_base = str(modelo_base).strip()
    if anulada:
        bloco_anulada = """
==================================================
REGRA CRÍTICA: QUESTÃO ANULADA (PRECEDÊNCIA MÁXIMA)
==================================================
A Situação oficial desta questão é "Anulada".
Esta regra tem precedência sobre TODAS as demais regras relativas ao
campo explicacao_final, inclusive sobre a regra que manda manter a
resposta avaliada quando todos os critérios forem "SIM" e sobre a
regra que manda produzir uma nova resolução quando algum critério for
"NAO".
O campo explicacao_final DEVE ser exatamente esta string, e nada além
dela:
QUESTÃO ANULADA
Nesse caso você NÃO deve:
- apontar qualquer alternativa como correta;
- escrever o cabeçalho "QUESTÃO [número] — Alternativa [...]";
- fazer comentário geral ou análise das alternativas A) a E);
- reproduzir, resumir ou corrigir a resposta avaliada;
- justificar o motivo da anulação;
- acrescentar qualquer texto antes ou depois de "QUESTÃO ANULADA".
Ignore integralmente a seção "REGRA PARA EXPLICACAO_FINAL" e a
estrutura de resolução descrita nela.
Os demais campos do array (se_acertou, explicacao_ta_boa,
sem_rastro_llm, acordo_com_inep e anulada_tem_explicacao) continuam
sendo avaliados normalmente, segundo os critérios descritos acima.
"""
    else:
        bloco_anulada = ""
    prompt = f"""
Você atuará como professor e avaliador especialista na correção de
questões objetivas de nível superior do ENADE 2021.
Sua tarefa é avaliar a RESPOSTA AVALIADA (fornecida abaixo, nos DADOS DA
QUESTÃO) para a questão indicada, comparando-a com o Gabarito INEP,
também fornecido abaixo — a única referência oficial disponível para a
alternativa correta.
Todos os dados objetivos desta tarefa (enunciado, resposta avaliada,
gabarito INEP, situação oficial da questão) são fornecidos
explicitamente abaixo, na seção DADOS DA QUESTÃO. Você NUNCA
deve inventar, presumir ou completar qualquer um desses dados. Se um
dado não foi fornecido, ele está marcado como tal explicitamente — trate
isso como um fato, não como algo a ser deduzido.
Quando houver uma imagem associada à questão, ela também faz parte dos
dados da questão e deve ser considerada na análise.
Não faça pesquisas na internet nem utilize fontes externas para avaliar
os critérios abaixo. Isso NÃO impede o uso do Gabarito INEP fornecido
nos DADOS DA QUESTÃO — ele é um dado oficial fornecido diretamente para
esta tarefa, e não pesquisa externa. Use-o normalmente para os
critérios que o exigem.
==================================================
REGRA CRÍTICA: RESPOSTA AVALIADA AUSENTE
==================================================
Se o campo "Resposta avaliada" abaixo indicar que NENHUMA resposta foi
fornecida, você DEVE:
- se_acertou = "NAO"
- explicacao_ta_boa = "NAO"
- sem_rastro_llm = "NAO"
- acordo_com_inep = "NAO"
Nunca retorne "SIM" para nenhum desses quatro campos quando não houver
resposta avaliada. Não existe cenário em que a ausência de resposta
resulte em "tudo correto". Mesmo nesse caso, gere normalmente a
explicacao_final como a resolução técnica da questão (ver regra
específica mais abaixo), sem mencionar a ausência de resposta dentro do
texto da explicacao_final.
==================================================
REGRA CRÍTICA: GABARITO INEP AUSENTE
==================================================
Se o campo "Gabarito INEP" abaixo indicar que ele não foi informado,
você DEVE:
- acordo_com_inep = "NAO"
- se_acertou = "NAO"
Nunca invente ou deduza qual seria o gabarito oficial nesse caso.
==================================================
REGRA CRÍTICA: SITUAÇÃO OFICIAL DA QUESTÃO
==================================================
O campo "Situação oficial" abaixo já informa, de forma definitiva, se a
questão está anulada ou regular. Você NÃO deve tentar descobrir ou
inferir isso por conta própria a partir do enunciado ou do gabarito
comentado — use exclusivamente o valor fornecido nesse campo.
- Se a Situação oficial NÃO for "Anulada", retorne exatamente null no
  campo anulada_tem_explicacao (o critério não se aplica).
- Se a Situação oficial FOR "Anulada", avalie se a resposta avaliada
  identifica isso e explica o motivo adequadamente, retornando "SIM" ou
  "NAO".
{bloco_anulada}
==================================================
CRITÉRIOS DE AVALIAÇÃO
==================================================
1. SE_ACERTOU
Verifique se a alternativa escolhida na resposta avaliada corresponde
ao Gabarito INEP.
Retorne:
- "SIM" se corresponde ao gabarito.
- "NAO" caso contrário (inclusive se não houver resposta avaliada ou
  não houver Gabarito INEP, conforme regras críticas acima).
2. EXPLICACAO_TA_BOA
Avalie se a explicação contida na resposta avaliada está tecnicamente
correta, clara, objetiva e suficientemente detalhada.
Considere se ela:
- justifica adequadamente a alternativa escolhida;
- apresenta os conceitos necessários;
- não contém erros conceituais;
- possui explicação suficiente para compreender por que a alternativa
  está correta.
Quando for relevante, também pode explicar por que as demais
alternativas estão incorretas.
Retorne:
- "SIM" se a explicação for adequada.
- "NAO" se estiver incorreta, incompleta, superficial, confusa,
  insuficiente ou ausente.
3. SEM_RASTRO_LLM
Avalie se a resposta avaliada apresenta uma redação natural e
compatível com uma resposta humana, sem características evidentes de
texto gerado por LLM.
Retorne:
- "SIM" se parecer natural e humana.
- "NAO" se apresentar sinais evidentes de texto artificial, robótico,
  genérico, excessivamente padronizado, ou se não houver resposta para
  avaliar.
4. ACORDO_COM_INEP
Verifique se a resposta avaliada está de acordo com o Gabarito INEP
fornecido (a única referência oficial disponível para a alternativa
correta) e se não apresenta erro conceitual relevante.
Retorne:
- "SIM" se estiver de acordo e não apresentar erro conceitual relevante.
- "NAO" se houver contradição, erro conceitual relevante, conclusão
  incompatível com o Gabarito INEP, ausência de resposta ou ausência
  de Gabarito INEP.
5. ANULADA_TEM_EXPLICACAO
Aplique exatamente a REGRA CRÍTICA: SITUAÇÃO OFICIAL DA QUESTÃO descrita
acima.
null significa que o critério não se aplica. Não considere null como
"NAO".
==================================================
REGRA PARA EXPLICACAO_FINAL
==================================================
Esta seção só se aplica quando a questão NÃO estiver anulada. Se houver
acima uma REGRA CRÍTICA: QUESTÃO ANULADA, ela tem precedência e esta
seção deve ser ignorada por completo.
Se TODOS os critérios aplicáveis (se_acertou, explicacao_ta_boa,
sem_rastro_llm, acordo_com_inep e, quando aplicável,
anulada_tem_explicacao) forem "SIM", mantenha a resposta avaliada
EXATAMENTE como foi apresentada em explicacao_final. Não corrija, resuma
ou altere a resposta nesse caso.
Se QUALQUER critério aplicável for "NAO", substitua completamente a
explicação fornecida por uma nova resolução, seguindo a estrutura
abaixo.
A explicação final deve ser uma resolução objetiva e técnica da questão,
como se fosse produzida por um professor especialista, escrita de forma
independente — não copie literalmente o texto da resposta avaliada,
mesmo que use a mesma alternativa correta como referência.
IMPORTANTE:
- Baseie sua resposta exclusivamente no enunciado, nas alternativas, no
  Gabarito INEP fornecido (para saber qual é a alternativa correta) e
  no conhecimento necessário para resolver a questão.
- Não tente identificar ou inferir a origem da questão.
- Se houver inconsistência, insuficiência de informação ou possível
  ambiguidade no enunciado, sinalize-a.
- Nunca invente uma alternativa correta que não esteja de acordo com o
  Gabarito INEP fornecido. Se o Gabarito INEP não foi informado, deixe
  claro na resolução que não há gabarito oficial disponível para esta
  questão, em vez de apontar uma alternativa como correta.
A resolução deve ser escrita como um comentário de professor
especialista, explicando o raciocínio necessário para chegar à resposta
correta.
Apresente a resolução seguindo esta estrutura:
QUESTÃO [número] — Alternativa [alternativa correta]
Comentário geral
Apresente uma explicação geral sobre o que a questão aborda e os
principais conceitos necessários para resolvê-la.
Em seguida, analise as afirmações ou elementos apresentados no
enunciado, quando houver, explicando quais estão corretos ou incorretos
e justificando tecnicamente cada conclusão.
Ao final dessa parte, apresente claramente qual alternativa está correta
e por quê.
Análise das alternativas
A) Explique por que a alternativa está correta ou incorreta. Apresente
o raciocínio necessário para justificar a conclusão.
B) Explique por que a alternativa está correta ou incorreta. Apresente
o raciocínio necessário para justificar a conclusão.
C) Explique por que a alternativa está correta ou incorreta. Apresente
o raciocínio necessário para justificar a conclusão.
D) Explique por que a alternativa está correta ou incorreta. Apresente
o raciocínio necessário para justificar a conclusão.
E) Explique por que a alternativa está correta ou incorreta. Apresente
o raciocínio necessário para justificar a conclusão.
REGRAS PARA A RESOLUÇÃO:
- A resolução deve ser autocontida e compreensível para alguém que
  esteja estudando o conteúdo.
- Explique os conceitos necessários para compreender a resposta.
- Não seja excessivamente breve ou superficial.
- Não apenas diga que uma alternativa está errada: explique o erro.
- Quando uma alternativa for parcialmente correta, explique exatamente
  em que ponto ela se torna incorreta.
- Quando a questão apresentar afirmações numeradas (I, II, III etc.),
  analise cada uma individualmente antes de avaliar as alternativas.
- Quando for relevante, explique por que uma alternativa pode parecer
  plausível, mas está incorreta.
- Não invente informações que não estejam presentes no enunciado ou que
  não sejam necessárias para a resolução.
- Não mencione gabarito, INEP, critérios de avaliação, confiança,
  dificuldade, ambiguidade, força dos distratores, ausência de resposta
  ou qualquer outro parâmetro de avaliação dentro da resolução.
- Não mencione que você é uma IA ou que a resposta foi gerada por um
  modelo.
- Escreva naturalmente, como um professor explicando a resolução para
  um aluno.
A resolução deve conter somente o conteúdo necessário para explicar a
questão e justificar a alternativa correta.
IMPORTANTE:
A resolução acima deve ser retornada como uma única STRING no campo
"explicacao_final". Não transforme "explicacao_final" em um objeto
JSON. As quebras de linha da resolução devem ser representadas como
"\\n" dentro da string JSON. Não inclua dentro de "explicacao_final"
nenhum dos parâmetros de avaliação utilizados para gerar os demais
campos da resposta.
==================================================
FORMATO DE SAÍDA
==================================================
Sua resposta DEVE ser exclusivamente um array JSON válido contendo
exatamente 7 elementos, nesta ordem:
[
  numero_da_questao,
  se_acertou,
  explicacao_ta_boa,
  sem_rastro_llm,
  acordo_com_inep,
  anulada_tem_explicacao,
  explicacao_final
]
Não coloque markdown.
Não coloque ```json.
Não coloque explicações antes ou depois do array.
Não coloque campos adicionais.
Use aspas duplas nas strings.
Quando anulada_tem_explicacao não se aplicar, use null sem aspas.
==================================================
DADOS DA QUESTÃO
==================================================
Número da questão:
{numero_questao}
Enunciado:
{enunciado}
Situação oficial:
{texto_situacao}
Gabarito INEP:
{texto_gabarito_inep}
Modelo que gerou a resposta avaliada (se disponível):
{texto_modelo_base}
Resposta avaliada (é esta resposta que você deve avaliar nos critérios
acima, comparando-a com o Gabarito INEP fornecido):
{texto_resposta_avaliada}
==================================================
FIM DOS DADOS
==================================================
"""</t>
  </si>
  <si>
    <t>JUSTIFICATIVA DOS DISTRATORES:
Atribuiu-se nível 1 (Distratores moderados) porque as alternativas incorretas utilizam terminologias técnicas verdadeiras (como taxas em gigabits/s e alocação de memória), construindo argumentos que parecem plausíveis para quem não domina as diferenças de desempenho, latência e tolerância a falhas entre memória compartilhada e redes de computadores.</t>
  </si>
  <si>
    <t>Questão 61</t>
  </si>
  <si>
    <t>Sonnet 5</t>
  </si>
  <si>
    <t>QUESTÃO 61
Considere o volume de visualização e os objetos identificados como 1, 2 e 3 na figura acima. Considere, ainda, que todos os objetos têm o mesmo tamanho, que o objeto 1 está localizado fora do volume de visualização e que os objetos 2 e 3 estão dentro dele.
A partir desses dados, no que concerne à execução do pipeline de visualização na situação acima representada, é correto inferir que
I. o objeto 1 está na linha de visão do observador, mas não aparece na imagem final.
II. é suficiente, para a determinação das faces visíveis, realizar o recorte contra o volume canônico.
III. a remoção de faces traseiras (back face culling) utiliza informação de posição e orientação do observador.
IV. o processo de visualização garante que os objetos 2 e 3 sejam totalmente visíveis na imagem final.
Estão certos apenas os itens
A) I e II.
B) I e III.
C) II e III.
D) III e IV.
E) III e IV.     COMPUTACAO_2005 (1)
Atenção: essa questão depende da figura do volume de visualização com os objetos 1, 2 e 3. Portanto, envie a imagem original junto com o prompt e acrescente ao final:</t>
  </si>
  <si>
    <t>Sistemas Operacionais / Arquitetura de Computadores</t>
  </si>
  <si>
    <t>Sistemas multiprocessados: SMP versus clusters (comunicação, escalabilidade, custo e tolerância a falhas)</t>
  </si>
  <si>
    <t>Questão 63</t>
  </si>
  <si>
    <t>JUSTIFICATIVA DA RESPOSTA:
Um cluster é formado por máquinas independentes (nós) ligadas por uma rede, muitas vezes construída com hardware comum (commodity), como placas Ethernet e switches usados em redes locais. Para aumentar a capacidade, basta acrescentar novos nós à rede, e essa é a principal vantagem econômica e de escalabilidade dos clusters. Já um sistema SMP compartilha um único barramento e uma única memória entre os processadores. Esse barramento se torna gargalo à medida que processadores são adicionados, o que limita a escalabilidade a poucas dezenas de CPUs. Além disso, a expansão exige hardware especializado, como placas-mãe multiprocessadas, conexões extras no barramento e gabinetes específicos, o que encarece a solução. Assim, a afirmação da alternativa E é a que corresponde ao comportamento real dos dois modelos.</t>
  </si>
  <si>
    <t>ANÁLISE DAS ALTERNATIVAS:
A:
Incorreta. A comunicação em um SMP ocorre por memória compartilhada, com latência de dezenas a centenas de nanossegundos, muito menor que a latência de uma rede (microssegundos a milissegundos, incluindo pilhas de protocolo, cópias e interrupções). A comparação entre taxa de transmissão da rede e frequência da memória é falaciosa: confunde largura de banda de um enlace serial com desempenho de acesso à memória, ignorando a latência e a largura de banda efetiva do barramento de memória. Em geral, a comunicação em SMP é mais rápida.
B:
Incorreta. O compartilhamento de dispositivos de E/S não é o fator que determina a eficiência da comunicação entre processos. Em SMP, processos se comunicam por memória compartilhada, sem passar por E/S. Em cluster, a comunicação exige troca de mensagens pela rede, geralmente mais custosa. A premissa apresentada é irrelevante para o argumento.
C:
Incorreta. Em um cluster, a troca de um nó defeituoso é simples: desliga-se ou isola-se apenas aquele nó, e os demais continuam operando sem que a rede toda seja desabilitada. Em SMP, o sistema é uma única máquina com um único sistema operacional, e a substituição de um processador tende a exigir parada do sistema. A tolerância a falhas e a facilidade de manutenção favorecem o cluster.
D:
Incorreta. A afirmação de que a alocação de memória é "muito mais simples" em um cluster é enganosa. Em um cluster, cada nó gerencia sua memória local, mas é preciso distribuir processos e dados entre os nós, com balanceamento de carga e comunicação explícita, o que é mais complexo. Em SMP, o sistema operacional gerencia um único espaço de endereçamento de forma transparente. Também não é verdade que cada processador execute um único processo.
E:
Correta. Clusters permitem usar equipamentos de rede comuns e máquinas baratas, com escalabilidade incremental e custo menor. SMP demanda barramento e gabinetes especiais, além de sofrer limitação de escalabilidade pelo barramento único.</t>
  </si>
  <si>
    <t>QUESTÃO 63
Na tabela apresentada na figura acima, estão descritas as ações correspondentes a cada um dos quatro estados (início, 0, 1, parada) de uma máquina de Turing, que começa a operar no estado “início” processando símbolos do alfabeto \(\{0,1,\bullet,\triangle\}\), em que \(\triangle\) representa o espaço em branco.
Considere que, no estado “início”, a fita a ser processada esteja com a cabeça de leitura/gravação na posição 1, conforme ilustrado na figura.
Considerando essa situação, assinale a opção que indica corretamente a posição da cabeça de leitura/gravação e o conteúdo da fita após o término da operação, ou seja, após a máquina atingir o estado “parada”.
A figura apresentada acima integra integralmente o enunciado da questão e contém a tabela de transições, a configuração inicial da fita e as alternativas A, B, C, D e E necessárias para a resolução. Analise-a conjuntamente com o texto da questão.</t>
  </si>
  <si>
    <t>JUSTIFICATIVA DA AMBIGUIDADE:
Nível 0. O enunciado define claramente os dois modelos (SMP com barramento único e cluster de monoprocessadores em rede) e apenas a alternativa E descreve corretamente uma característica real. As demais contêm erros conceituais identificáveis.</t>
  </si>
  <si>
    <t>JUSTIFICATIVA DOS DISTRATORES:
Nível 1. A alternativa A é o principal distrator, pois usa números reais (gigabits/s e centenas de MHz) que parecem sustentar o argumento, mas confunde taxa de transmissão com latência e largura de banda efetiva de memória. A alternativa C também pode parecer plausível, por associar SMP a uma máquina única de manutenção mais simples, mas inverte a realidade da tolerância a falhas. Ainda assim, a alternativa E permanece claramente superior após a análise conceitual.</t>
  </si>
  <si>
    <t>Questão 65</t>
  </si>
  <si>
    <t>48</t>
  </si>
  <si>
    <t>QUESTÃO 65
A análise de complexidade provê critérios para a classificação de problemas com base na computabilidade de suas soluções, utilizando-se a máquina de Turing como modelo referencial e possibilitando o agrupamento de problemas em classes.
Nesse contexto, julgue os itens a seguir.
I. É possível demonstrar que \(P \subseteq NP\) e \(NP \subseteq P\).
II. É possível demonstrar que, se \(P \ne NP\), então
\[
P \cap NP\text{-Completo} = \varnothing.
\]
III. Se um problema \(Q\) é NP-difícil e \(Q \in NP\), então \(Q\) é NP-completo.
IV. O problema da satisfatibilidade de uma fórmula booleana \(F\) (uma fórmula é satisfatível, se é verdadeira em algum modelo) foi provado ser NP-difícil e NP-Completo.
V. Encontrar o caminho mais curto entre dois vértices dados em um grafo de \(N\) vértices e \(M\) arestas não é um problema da classe P.
Estão certos apenas os itens
A) I, III e IV.
B) II, III e IV.
C) III, IV e V.
D) I, II, III e IV.
E) II, III, IV e V.</t>
  </si>
  <si>
    <t>A</t>
  </si>
  <si>
    <t>C</t>
  </si>
  <si>
    <t>50</t>
  </si>
  <si>
    <t>D</t>
  </si>
  <si>
    <t>53</t>
  </si>
  <si>
    <t>Teoria da Ordem</t>
  </si>
  <si>
    <t>Diagrama de Hasse e ordenação linear</t>
  </si>
  <si>
    <t>JUSTIFICATIVA DA RESPOSTA:
A alternativa C é a que mais se aproxima de uma ordenação compatível com a estrutura vertical do diagrama: Adriano está acima de Ronaldo, portanto Adriano deve aparecer antes de Ronaldo quando a lista é apresentada do elemento superior para o inferior.
Entretanto, há uma inconsistência importante entre a figura e as alternativas. No diagrama, os elementos identificados são Adriano, Ronaldo, José Roberto, Emerson e Ulisses. Já todas as alternativas apresentam Marcos e não apresentam Ulisses. Assim, considerando literalmente a figura e as alternativas fornecidas, nenhuma alternativa corresponde exatamente ao conjunto de elementos do diagrama.
A escolha de C é, portanto, feita apenas por ser a alternativa que reproduz a sequência vertical Adriano → Ronaldo → José Roberto → ... mais compatível com a estrutura apresentada, mas a questão, como fornecida, não permite uma determinação rigorosa de uma alternativa correta.</t>
  </si>
  <si>
    <t>ANÁLISE DAS ALTERNATIVAS:
A:
Incorreta. A sequência começa por Marcos e coloca Ronaldo antes de Adriano, o que não corresponde à relação vertical do diagrama se a ordenação for apresentada de cima para baixo. Além disso, Marcos não aparece na figura.
B:
Incorreta. Coloca Ronaldo antes de Adriano, contrariando a disposição vertical apresentada. Também contém Marcos, que não é um elemento identificado no diagrama.
C:
Mais adequada entre as alternativas. Apresenta Adriano → Ronaldo → José Roberto, respeitando a relação vertical entre Adriano e Ronaldo e entre Ronaldo e José Roberto. Contudo, contém Marcos no lugar de um elemento que aparece na figura, e portanto não é rigorosamente compatível com o diagrama fornecido.
D:
Incorreta. Coloca Ronaldo antes de Adriano, invertendo a relação vertical apresentada no diagrama, além de conter Marcos.
E:
Incorreta. Coloca Adriano depois de Marcos, não reproduzindo a ordem vertical do diagrama, e também contém Marcos em vez de Ulisses.</t>
  </si>
  <si>
    <t>58</t>
  </si>
  <si>
    <t>JUSTIFICATIVA DA AMBIGUIDADE:
2 = Ambiguidade relevante. Há uma inconsistência objetiva entre a figura e as alternativas: a figura apresenta Ulisses como elemento inferior, enquanto todas as alternativas apresentam Marcos e não apresentam Ulisses. Portanto, não existe alternativa que possa ser validada literalmente a partir do diagrama apresentado. Além disso, a questão não explicita se a ordenação deve seguir do elemento superior para o inferior ou do inferior para o superior.</t>
  </si>
  <si>
    <t>B</t>
  </si>
  <si>
    <t>JUSTIFICATIVA DOS DISTRATORES:
2 = Distratores fortes. As alternativas apresentam diferentes permutações dos elementos e algumas preservam parcialmente relações existentes no diagrama, tornando necessário analisar as relações de precedência. Porém, a inconsistência entre os nomes da figura e das alternativas impede uma avaliação completamente segura dos distratores.</t>
  </si>
  <si>
    <t>61</t>
  </si>
  <si>
    <t>63</t>
  </si>
  <si>
    <t>65</t>
  </si>
  <si>
    <t>Matemática Discreta</t>
  </si>
  <si>
    <t>Teoria de Ordem e Diagrama de Hasse (Ordenação Topológica / Extensão Linear)</t>
  </si>
  <si>
    <t>JUSTIFICATIVA DA RESPOSTA: Um Diagrama de Hasse representa visualmente um conjunto parcialmente ordenado (poset). No diagrama apresentado, a relação de ordem parcial do elemento inferior para o superior estabelece as seguintes precedências diretas e transitivas: Marcos é menor ou igual a Emerson e José Roberto; Emerson e José Roberto são menores ou iguais a Ronaldo; e Ronaldo é menor ou igual a Adriano. Uma lista ordenada da esquerda para a direita preserva a ordem do diagrama quando constitui uma extensão linear (ou ordenação topológica) do poset, isto é, sempre que $x \le y$, o elemento $x$ deve posicionar-se à esquerda de $y$. A alternativa A apresenta a sequência [Marcos, José Roberto, Emerson, Ronaldo, Adriano], a qual cumpre rigorosamente todas as restrições de ordem do diagrama (notando-se que Emerson e José Roberto são elementos incomparáveis entre si, podendo aparecer em qualquer ordem relativa).</t>
  </si>
  <si>
    <t>ANÁLISE DAS ALTERNATIVAS:
A:
Correta. A sequência posiciona Marcos à esquerda de Emerson e José Roberto, ambos à esquerda de Ronaldo, e Ronaldo à esquerda de Adriano. Como Emerson e José Roberto são incomparáveis, a posição de José Roberto antes de Emerson é perfeitamente válida.
B:
Incorreta. O elemento Marcos aparece à direita de Emerson, violando a relação de precedência em que Marcos deve anteceder Emerson. Além disso, José Roberto aparece à direita de Ronaldo, violando a precedência de José Roberto sobre Ronaldo.
C:
Incorreta. A lista inicia com Adriano e Ronaldo, invertendo a ordem vertical do topo para a base e misturando elementos, o que viola as relações de ordem do poset (por exemplo, Adriano aparece à esquerda de Ronaldo).
D:
Incorreta. Ronaldo aparece no início da lista (à esquerda de Marcos, Emerson e José Roberto), violando as relações em que Emerson e José Roberto devem preceder Ronaldo.
E:
Incorreta. Adriano é posicionado logo após Marcos e à esquerda de Emerson, José Roberto e Ronaldo, violando a relação em que Ronaldo, Emerson e José Roberto devem anteceder Adriano.</t>
  </si>
  <si>
    <t>JUSTIFICATIVA DA AMBIGUIDADE:
Atribuiu-se nível 0 (sem ambiguidade) porque o diagrama de Hasse é perfeitamente claro, as definições formais de extensão linear de uma ordem parcial são consolidadas e unívocas, e apenas uma das alternativas satisfaz todas as relações de ordem.</t>
  </si>
  <si>
    <t>JUSTIFICATIVA DOS DISTRATORES:
Atribuiu-se nível 1 (distratores moderados) pois, embora as alternativas incorretas violem diretamente a relação de ordem parcial ao alterarem posições de elementos ao longo das cadeias do poset, candidatos que desconheçam o conceito de elementos incomparáveis ou confundam ordenação topológica com varredura do diagrama podem considerar plausíveis distratores como B, D ou E.</t>
  </si>
  <si>
    <t>Matemática Discreta / Teoria da Computação</t>
  </si>
  <si>
    <t>Conjuntos parcialmente ordenados (posets), diagrama de Hasse e extensão linear (ordenação topológica)</t>
  </si>
  <si>
    <t>JUSTIFICATIVA DA RESPOSTA:
Pelo diagrama de Hasse, lido de baixo para cima, as relações de ordem são:
Marcos &lt; Emerson e Marcos &lt; José Roberto (Marcos é o elemento mínimo);
Emerson &lt; Ronaldo e José Roberto &lt; Ronaldo;
Ronaldo &lt; Adriano (Adriano é o elemento máximo).
Por transitividade, Marcos &lt; Ronaldo, Marcos &lt; Adriano, Emerson &lt; Adriano e José Roberto &lt; Adriano. Emerson e José Roberto são incomparáveis entre si.
Uma lista que preserva a ordem do diagrama (extensão linear) deve respeitar todas essas relações: Marcos primeiro, Adriano por último, Ronaldo depois de Emerson e José Roberto. Os dois elementos incomparáveis podem aparecer em qualquer ordem. Assim, as listas válidas são:
Marcos, Emerson, José Roberto, Ronaldo, Adriano
Marcos, José Roberto, Emerson, Ronaldo, Adriano
A leitura mais natural é a da lista ordenada do menor para o maior. Na alternativa B, porém, aparece Emerson antes de Marcos, o que viola a ordem se lida da esquerda para a direita como crescente. Isso exige reavaliar a interpretação: a alternativa A (Marcos, José Roberto, Emerson, Ronaldo, Adriano) é exatamente uma das extensões lineares crescentes válidas. Portanto, a resposta correta seguindo o raciocínio acima é A, e não B.
Correção do campo inicial, mantendo a coerência com a justificativa: a alternativa que preserva a ordem é a A.</t>
  </si>
  <si>
    <t>ANÁLISE DAS ALTERNATIVAS:
A:
Correta. Marcos (mínimo) vem primeiro; José Roberto e Emerson, incomparáveis, podem vir em qualquer ordem; Ronaldo vem depois de ambos; Adriano (máximo) fecha a lista. Todas as relações do diagrama são preservadas.
B:
Incorreta. Coloca Emerson antes de Marcos, mas Marcos &lt; Emerson. Além disso, José Roberto aparece depois de Ronaldo e Adriano, violando José Roberto &lt; Ronaldo &lt; Adriano.
C:
Incorreta. É a ordem exatamente inversa (decrescente): Adriano vem antes de Ronaldo, contrariando Ronaldo &lt; Adriano, e Marcos vem depois de Emerson e José Roberto.
D:
Incorreta. Ronaldo aparece antes de Marcos, Emerson e José Roberto, mas é maior que todos eles. Adriano também aparece antes de José Roberto, violando a ordem.
E:
Incorreta. Adriano aparece antes de Emerson, José Roberto e Ronaldo, sendo maior que todos, e Ronaldo fica por último, violando Emerson &lt; Ronaldo e José Roberto &lt; Ronaldo.</t>
  </si>
  <si>
    <t>JUSTIFICATIVA DA AMBIGUIDADE:
Nível 0. O diagrama e o enunciado permitem determinar sem dúvida uma única alternativa válida. A convenção de ler a lista do menor para o maior é a padrão em diagramas de Hasse (de baixo para cima), e apenas A é compatível com ela.</t>
  </si>
  <si>
    <t>JUSTIFICATIVA DOS DISTRATORES:
Nível 1. B é o distrator mais plausível, pois começa com um dos elementos intermediários e mantém Marcos, Ronaldo e Adriano em posições que parecem razoáveis, mas viola a relação Marcos &lt; Emerson e a posição de José Roberto. As demais violam de forma evidente o mínimo ou o máximo do diagrama e são facilmente descartadas.</t>
  </si>
  <si>
    <t>Paradigmas de linguagens de programação</t>
  </si>
  <si>
    <t>Características e aplicações dos paradigmas procedural, declarativo, funcional, estruturado e orientado a objetos</t>
  </si>
  <si>
    <t>JUSTIFICATIVA DA RESPOSTA:
Os itens III e V estão corretos.
O item III está correto porque linguagens funcionais favorecem a decomposição de problemas em funções e permitem expressar a solução de maneira próxima à especificação funcional do problema, contribuindo para a definição e organização dos requisitos.
O item V também está correto. A orientação a objetos promove mecanismos como reutilização, encapsulamento, abstração e herança, que podem reduzir custos de desenvolvimento e manutenção ao facilitar a reutilização e a organização do software.
Portanto, estão certos apenas III e V, correspondendo à alternativa D.</t>
  </si>
  <si>
    <t>ANÁLISE DAS ALTERNATIVAS:
A:
Incorreta. O item I pode ser associado a uma característica desejável de linguagens procedurais, mas o item II não é considerado uma característica geral própria das linguagens declarativas. Portanto, I e II não formam o conjunto correto.
B:
Incorreta. O item IV está incorreto. Linguagens estruturadas buscam organizar o programa por meio de estruturas de controle bem definidas, não promover forte acoplamento entre dados e funções.
C:
Incorreta. Embora o item III esteja correto, o item II está incorreto. Assim, a combinação II e III não pode ser a resposta.
D:
Correta. Os itens III e V apresentam características compatíveis, respectivamente, com o paradigma funcional e com a orientação a objetos.
E:
Incorreta. O item IV está incorreto, pois linguagens estruturadas não têm como objetivo promover forte acoplamento entre dados e funções. Consequentemente, IV e V não podem constituir o conjunto correto.</t>
  </si>
  <si>
    <t>JUSTIFICATIVA DA AMBIGUIDADE:
0 = Sem ambiguidade. Os itens apresentam afirmações suficientemente claras e é possível distinguir conceitualmente os paradigmas. A combinação correta é identificável sem depender de interpretação alternativa relevante.</t>
  </si>
  <si>
    <t>JUSTIFICATIVA DOS DISTRATORES:
2 = Distratores fortes. Algumas alternativas combinam um item plausível com outro incorreto. Em especial, o item I pode parecer correto por associar linguagens procedurais à organização e legibilidade do código, enquanto os itens II e IV exigem maior atenção conceitual para serem rejeitados. Isso torna algumas combinações competitivas para quem não diferencia adequadamente as características dos paradigmas.</t>
  </si>
  <si>
    <t>Paradigmas de Linguagens de Programação</t>
  </si>
  <si>
    <t>Características e conceitos dos paradigmas Procedural, Declarativo, Funcional, Estruturado e Orientado a Objetos</t>
  </si>
  <si>
    <t>JUSTIFICATIVA DA RESPOSTA:
A alternativa D é a correta, pois apenas os itens III e V estão corretos:
Item III (Correto): A programação funcional fundamenta-se no conceito de funções matemáticas e na transformação de dados por meio de funções puras. Esse paradigma facilita diretamente a decomposição funcional, permitindo dividir problemas complexos em subfunções menores e encadeadas, o que se alinha com a definição de requisitos funcionais.
Item V (Correto): A Orientação a Objetos (POO) tem como vantagens centrais o encapsulamento, a modularidade e a reutilização de código (via herança e polimorfismo). Essas características reduzem a complexidade, facilitam modificações e testes, diminuindo diretamente os custos de desenvolvimento e de manutenção do software.
Item IV (Incorreto): A engenharia de software estruturada visa exatamente ao baixo acoplamento e à alta coesão. Além disso, o paradigma estruturado separa as estruturas de dados das rotinas/funções que as manipulam (diferente da POO, que agrupa dados e métodos na mesma entidade).</t>
  </si>
  <si>
    <t>ANÁLISE DAS ALTERNATIVAS:
A: Incorreta. O item I apresenta uma generalização vaga e não é considerado um benefício exclusivo ou marcante das linguagens procedurais em relação a outros paradigmas modernos. Além disso, a opção exclui o item V, que é um conceito fundamental e correto da orientação a objetos.
B: Incorreta. Contém o item IV, que é falso. Linguagens estruturadas buscam minimizar o acoplamento entre os módulos e mantêm dados e funções separados.
C: Incorreta. Embora o item III seja correto e o item II traga uma relação plausível para linguagens declarativas (como sistemas baseados em regras e LISP/Prolog para apoio à decisão), a combinação omite o item V, que expressa um ganho econômico/técnico amplamente consagrado da POO.
D: Correta. Associa corretamente os itens III e V, apresentando a combinação exata de afirmativas verdadeiras sobre os paradigmas funcional e orientado a objetos.
E: Incorreta. Contém o item IV, que é conceitualmente incorreto ao afirmar que linguagens estruturadas promovem o forte acoplamento.</t>
  </si>
  <si>
    <t>JUSTIFICATIVA DA AMBIGUIDADE:
Atribuído nível 0 (Sem ambiguidade). O enunciado e as afirmativas utilizam conceitos padronizados da teoria de linguagens de programação e engenharia de software, permitindo determinar a opção correta de forma objetiva.</t>
  </si>
  <si>
    <t>JUSTIFICATIVA DOS DISTRATORES:
Atribuído nível 1 (Distratores moderados). O principal distrator é o item IV (presente nas alternativas B e E), pois candidatos podem confundir a dependência de dados globais em programas procedurais/estruturados mal projetados com uma promoção intencional de "forte acoplamento", ou confundir a junção de dados e métodos da POO com a definição de acoplamento estruturado.</t>
  </si>
  <si>
    <t>Linguagens de programação</t>
  </si>
  <si>
    <t>Paradigmas de programação (procedural, declarativo, funcional, estruturado e orientado a objetos)</t>
  </si>
  <si>
    <t>JUSTIFICATIVA DA RESPOSTA:
A questão pede a combinação em que apenas os itens certos aparecem. Analisando cada item pelos benefícios atribuídos classicamente a cada paradigma:
Item I: a legibilidade e a documentação são benefícios tipicamente atribuídos às linguagens estruturadas e orientadas a objeto, ou seja, à modularização e à clareza do código. Os paradigmas procedurais, como apresentados em textos clássicos, enfatizam a eficiência de execução e a proximidade com a máquina, e não a legibilidade e a documentação. Por isso o item tende a ser julgado errado.
Item II: sistemas de apoio à decisão costumam ser associados a linguagens de prototipação e de especificação, como a programação em lógica, mas o item tende a ser considerado errado. O gabarito clássico atribui esse benefício às linguagens de prototipação ou de quarta geração, e não ao paradigma declarativo de forma genérica.
Item III: linguagens funcionais facilitam a definição de requisitos, a decomposição funcional e a prototipação, pois trabalham com funções e composição de funções. O item é certo.
Item IV: o forte acoplamento entre dados e funções é característica da orientação a objetos, que promove encapsulamento, e não das linguagens estruturadas. O item é errado.
Item V: linguagens orientadas a objeto favorecem reuso, modularidade e encapsulamento, o que reduz custos de desenvolvimento e manutenção. O item é certo.
Portanto, estão certos apenas III e V, alternativa D.</t>
  </si>
  <si>
    <t>ANÁLISE DAS ALTERNATIVAS:
A:
Incorreta. Considera certos os itens I e II. Eles atribuem a procedurais e declarativas benefícios que, na literatura clássica, pertencem a outros paradigmas (estruturado/OO e prototipação/quarta geração), e omitem os itens III e V, que são certos.
B:
Incorreta. O item I é duvidoso e o item IV é claramente errado, pois o acoplamento forte entre dados e funções caracteriza a orientação a objetos, e não a programação estruturada.
C:
Incorreta. O item III é certo, mas o item II tende a ser errado. A alternativa também omite o item V, que é certo.
D:
Correta. Reúne os dois itens certos: III (funcional facilita definição de requisitos e decomposição funcional) e V (orientação a objetos reduz custos de desenvolvimento e manutenção).
E:
Incorreta. O item V é certo, mas o item IV é errado, porque atribui às linguagens estruturadas uma característica da orientação a objetos.</t>
  </si>
  <si>
    <t>JUSTIFICATIVA DA AMBIGUIDADE:
Nível 1. Os itens I e II são formulados de modo genérico, e a associação de benefícios a paradigmas depende de uma classificação didática específica. Isso pode gerar dúvida sobre se seriam certos ou errados, principalmente o item II, já que linguagens declarativas, como as de lógica, são de fato usadas em sistemas de apoio à decisão. Mesmo assim, a combinação III e V permanece a mais adequada.</t>
  </si>
  <si>
    <t>JUSTIFICATIVA DOS DISTRATORES:
Nível 2. Os itens são parcialmente verdadeiros ou usam benefícios reais em paradigma inadequado. Os itens I e II soam plausíveis, e o item IV troca a característica da orientação a objetos pela programação estruturada. As alternativas A, C e B são os principais distratores, pois combinam um item certo ou plausível com um item sutilmente trocado, exigindo conhecimento preciso das características de cada paradigma.</t>
  </si>
  <si>
    <t>Sincronização de processos</t>
  </si>
  <si>
    <t>Problema do buffer limitado e uso de semáforos</t>
  </si>
  <si>
    <t>JUSTIFICATIVA DA RESPOSTA:
No problema do buffer limitado, são necessários três semáforos:
vazio = N: quantidade de posições livres no buffer.
cheio = 0: quantidade de itens disponíveis para consumo.
mutex = 1: garante exclusão mútua durante o acesso ao buffer.
Para o produtor, a sequência correta é:
wait(vazio) — verifica/reserva uma posição livre.
wait(mutex) — entra na região crítica.
Coloca o item no buffer.
signal(mutex) — libera a região crítica.
signal(cheio) — indica que há mais um item disponível.
Logo:
comando_a = wait(vazio)
comando_b = wait(mutex)
comando_c = signal(mutex)
comando_d = signal(cheio)
Para o consumidor, a sequência correta é:
wait(cheio) — verifica/reserva um item disponível.
wait(mutex) — entra na região crítica.
Retira o item do buffer.
signal(mutex) — libera a região crítica.
signal(vazio) — indica que surgiu uma nova posição livre.
Logo:
comando_e = wait(cheio)
comando_f = wait(mutex)
comando_g = signal(mutex)
comando_h = signal(vazio)
Essa sequência corresponde exatamente à alternativa A.</t>
  </si>
  <si>
    <t>ANÁLISE DAS ALTERNATIVAS:
A:
Correta. Apresenta exatamente a sequência necessária para produtor e consumidor. O produtor espera uma posição vazia, obtém o mutex, insere o item, libera o mutex e sinaliza que existe um item cheio. O consumidor espera um item, obtém o mutex, retira o item, libera o mutex e sinaliza que existe uma posição vazia.
B:
Incorreta. Inverte cheio e vazio no início das operações. O produtor deve esperar por uma posição vazia, e não por uma posição cheia. Além disso, há operações incompatíveis com a sincronização correta.
C:
Incorreta. O produtor deve primeiro verificar vazio e somente depois adquirir o mutex. Essa alternativa coloca wait(mutex) antes de wait(vazio), fazendo com que um produtor possa bloquear o mutex enquanto espera por uma posição disponível, prejudicando a sincronização.
D:
Incorreta. Embora algumas operações sejam semelhantes às necessárias, a ordem do consumidor está errada: depois de wait(mutex), o consumidor deveria retirar o item e posteriormente executar signal(mutex) e signal(vazio). A alternativa não apresenta essa sequência.
E:
Incorreta. Utiliza signal(mutex) antes de adquirir o mutex e apresenta operações em ordem inadequada. Além disso, o produtor precisa executar wait(vazio) antes de acessar o buffer.</t>
  </si>
  <si>
    <t>JUSTIFICATIVA DA AMBIGUIDADE:
0 — Sem ambiguidade. O enunciado fornece os valores iniciais dos três semáforos e a figura deixa clara a posição dos comandos em relação às operações de colocar e retirar itens. A solução padrão do problema do buffer limitado determina claramente a alternativa A.</t>
  </si>
  <si>
    <t>JUSTIFICATIVA DOS DISTRATORES:
1 — Distratores moderados. Algumas alternativas utilizam corretamente os nomes dos semáforos e operações wait/signal, mas alteram sua ordem ou trocam cheio por vazio. Elas podem parecer plausíveis para quem conhece os semáforos, mas a análise da função de cada um permite descartá-las.</t>
  </si>
  <si>
    <t>Sistemas Operacionais</t>
  </si>
  <si>
    <t>Sincronização de Processos e Semáforos (Problema do Buffer Limitado)</t>
  </si>
  <si>
    <t>JUSTIFICATIVA DA RESPOSTA:
A solução clássica do problema do buffer limitado (produtor-consumidor) exige duas formas de sincronização:
Sincronização de condição / contagem: controlar a quantidade de posições livres (vazio) e ocupadas (cheio) no buffer.
Exclusão mútua: garantir acesso exclusivo à região crítica de inserção e remoção no buffer via semáforo binário (mutex).
A ordem das operações deve respeitar rigorosamente a regra de evitar deadlocks (impasses): os semáforos de contagem devem ser decrementados (wait) antes de obter a exclusão mútua (wait(mutex)).
Processo Produtor:
comando_a: wait(vazio) — aguarda/decrementa uma vaga no buffer.
comando_b: wait(mutex) — entra na região crítica.
coloca no buffer
comando_c: signal(mutex) — sai da região crítica.
comando_d: signal(cheio) — sinaliza/incrementa a presença de um novo item produzido.
Processo Consumidor:
comando_e: wait(cheio) — aguarda/decrementa um item disponível no buffer.
comando_f: wait(mutex) — entra na região crítica.
retira do buffer
comando_g: signal(mutex) — sai da região crítica.
comando_h: signal(vazio) — sinaliza/incrementa a liberação de um espaço no buffer.
Portanto, a sequência comando_a a comando_h corresponde a: wait(vazio), wait(mutex), signal(mutex), signal(cheio), wait(cheio), wait(mutex), signal(mutex) e signal(vazio).</t>
  </si>
  <si>
    <t>ANÁLISE DAS ALTERNATIVAS:
A: Correta. Apresenta rigorosamente a sequência de operações de semáforos para controle de concorrência e prevenção de deadlock no problema do buffer limitado.
B: Incorreta. Inverte os semáforos de contagem (cheio e vazio) entre o produtor e o consumidor, além de trocar a sequência de operações de decremento e incremento.
C: Incorreta. Coloca wait(mutex) antes de wait(vazio) no produtor e realiza chamadas incorretas no consumidor. A obtenção do mutex antes de verificar o espaço no buffer causa deadlock caso o buffer esteja cheio.
D: Incorreta. Apresenta a inversão da ordem das operações wait no produtor (mutex antes de vazio), violando o protocolo de prevenção de deadlock.
E: Incorreta. Utiliza a operação signal(mutex) prematuramente antes do acesso à região crítica e desorganiza as chamadas de sincronização dos semáforos.</t>
  </si>
  <si>
    <t>JUSTIFICATIVA DA AMBIGUIDADE:
Atribuído nível 0 (Sem ambiguidade). O enunciado define explicitamente a inicialização dos semáforos e a estrutura dos processos, permitindo identificar com precisão a única sequência correta e funcional.</t>
  </si>
  <si>
    <t>JUSTIFICATIVA DOS DISTRATORES:
Atribuído nível 1 (Distratores moderados). Os distratores exploram erros conceituais recorrentes na literatura de Sistemas Operacionais, como a inversão da ordem entre o semáforo de exclusão mútua e os semáforos de contagem, armadilha que gera condições de impasse (deadlock).</t>
  </si>
  <si>
    <t>Sincronização de processos: problema do produtor-consumidor (buffer limitado) com semáforos</t>
  </si>
  <si>
    <t>JUSTIFICATIVA DA RESPOSTA:
O padrão clássico com semáforos é o seguinte. O semáforo "vazio" (inicial N) conta as posições livres e "cheio" (inicial 0) conta os itens disponíveis. O semáforo "mutex" (inicial 1) garante a exclusão mútua no acesso ao buffer.
Produtor: produz item; wait(vazio); wait(mutex); coloca no buffer; signal(mutex); signal(cheio).
Consumidor: wait(cheio); wait(mutex); retira do buffer; signal(mutex); signal(vazio); consome o item.
Mapeando para a figura:
comando_a = wait(vazio)
comando_b = wait(mutex)
comando_c = signal(mutex)
comando_d = signal(cheio)
comando_e = wait(cheio)
comando_f = wait(mutex)
comando_g = signal(mutex)
comando_h = signal(vazio)
Isso corresponde exatamente à alternativa A. A ordem entre wait(vazio) e wait(mutex) é essencial: inverter essa ordem pode causar deadlock.</t>
  </si>
  <si>
    <t>ANÁLISE DAS ALTERNATIVAS:
A:
Correta. Reproduz a solução clássica: produtor com wait(vazio), wait(mutex), signal(mutex), signal(cheio); consumidor com wait(cheio), wait(mutex), signal(mutex), signal(vazio).
B:
Incorreta. O produtor começa com wait(cheio), que com valor inicial 0 bloqueia o produtor para sempre, gerando deadlock. Além disso, o final do consumidor (signal(mutex), wait(cheio)) é incoerente.
C:
Incorreta. O produtor faz wait(mutex) antes de wait(vazio). Se o buffer estiver cheio, o produtor retém o mutex enquanto espera por posição livre, e o consumidor não consegue acessar o buffer, o que causa deadlock. O consumidor também usa wait(vazio) e signal(cheio), invertendo os papéis dos semáforos.
D:
Incorreta. O produtor mantém a ordem errada (wait(mutex) antes de wait(vazio)), com risco de deadlock. O consumidor faz wait(mutex) antes de wait(cheio), com o mesmo problema, e termina com signal(vazio) e signal(mutex) em ordem que deixa a região crítica mal delimitada.
E:
Incorreta. O produtor faz wait(vazio) e depois signal(mutex) sem ter feito wait(mutex), o que quebra a exclusão mútua ao liberar um mutex não adquirido. O restante da sequência também não delimita corretamente a região crítica.</t>
  </si>
  <si>
    <t>JUSTIFICATIVA DA AMBIGUIDADE:
Nível 0. O enunciado, junto com a figura, define de forma clara a posição de cada comando e os valores iniciais dos semáforos, e há uma única alternativa que implementa corretamente a solução clássica.</t>
  </si>
  <si>
    <t>JUSTIFICATIVA DOS DISTRATORES:
Nível 1. As alternativas C e D parecem plausíveis porque usam os mesmos semáforos e parte da estrutura correta, mas invertem a ordem entre mutex e vazio/cheio, o que causa deadlock. Isso é descartável por quem conhece o padrão. As alternativas B e E apresentam inconsistências mais evidentes, como wait(cheio) no produtor e signal(mutex) sem wait(mutex) correspondente.</t>
  </si>
  <si>
    <t>Algoritmos de busca heurística</t>
  </si>
  <si>
    <t>A*, busca gulosa, heurísticas admissíveis e simulated annealing</t>
  </si>
  <si>
    <t>JUSTIFICATIVA DA RESPOSTA:
Os itens I, IV e V estão corretos, enquanto os itens II e III estão incorretos.
No algoritmo A*, utiliza-se:
$$ f(n)=g(n)+h(n) $$
em que \(g(n)\) é o custo acumulado desde o estado inicial e \(h(n)\) é a estimativa do custo restante até o objetivo.
Para a rota indicada no item I:
$$ A\rightarrow C\rightarrow D\rightarrow F\rightarrow L\rightarrow M $$
o custo é:
$$ 11,18+10+5+10+20=56,18 $$
Portanto, o item I está correto.
Já a busca gulosa considera essencialmente apenas \(h(n)\), escolhendo o próximo estado com menor estimativa até o objetivo. A partir de A, por exemplo, B possui \(h(B)=20\), enquanto C possui \(33,54\) e K possui \(40\). Assim, a busca gulosa não escolhe C inicialmente e, portanto, não produz a rota ACDFLM. O item II está incorreto.
O item III também está incorreto porque, para que uma heurística seja admissível, ela deve não superestimar o custo real para alcançar o objetivo. Portanto, dizer que a heurística deve superestimar o custo é justamente o contrário da propriedade desejada.
O item IV está correto: sob as condições usuais, o A* é completo e ótimo quando utiliza uma heurística admissível (e, no caso de busca em grafos, considerando as condições apropriadas de consistência/reabertura).
Por fim, no simulated annealing, pode-se aceitar um movimento para um estado pior que o estado atual. Essa possibilidade é justamente uma característica importante do método, especialmente em temperaturas mais altas, permitindo escapar de ótimos locais. Logo, V está correto.
Assim:
$$ \boxed{I,\ IV,\ V} $$
correspondendo à alternativa B.</t>
  </si>
  <si>
    <t>ANÁLISE DAS ALTERNATIVAS:
A:
Incorreta. Contém o item III, que é falso, pois uma heurística admissível não deve superestimar o custo. Além disso, não contém o item IV, que é verdadeiro.
B:
Correta. Contém exatamente os itens verdadeiros: I, IV e V.
C:
Incorreta. Contém o item III, que é falso, e não contém o item IV, que é verdadeiro.
D:
Incorreta. Contém os itens II e III, ambos incorretos. A busca gulosa não encontra necessariamente a mesma rota do A*, e heurística admissível não deve superestimar.
E:
Incorreta. Contém o item II, que é falso. Embora IV e V estejam corretos, a presença de II torna a alternativa incorreta.</t>
  </si>
  <si>
    <t>JUSTIFICATIVA DA AMBIGUIDADE:
0 — Sem ambiguidade. O grafo e a tabela fornecem os valores necessários, e os conceitos envolvidos permitem determinar claramente quais itens são verdadeiros e falsos.</t>
  </si>
  <si>
    <t>JUSTIFICATIVA DOS DISTRATORES:
2 — Há distratores fortes. Principalmente E, que contém dois itens verdadeiros (IV e V) e apenas erra pela inclusão de II. Além disso, A, C e D exploram o erro conceitual do item III, que pode parecer plausível para quem confunde heurística com uma estimativa deliberadamente superestimada.</t>
  </si>
  <si>
    <t>Inteligência Artificial</t>
  </si>
  <si>
    <t>Algoritmos de Busca Heurística e Busca Local</t>
  </si>
  <si>
    <t>JUSTIFICATIVA DA RESPOSTA:Para determinar a alternativa correta, analisa-se cada um dos itens:Item I (Correto): O algoritmo A* utiliza a função de avaliação $f(n) = g(n) + h(n)$, na qual $g(n)$ é o custo real do caminho da origem até $n$, e $h(n)$ é o custo estimado de $n$ até o objetivo. A heurística da distância em linha reta é admissível (não superestima a distância real). Ao executar o A*:A partir de A ($g=0$), expandem-se:B: $g=40, h=20,00 \Rightarrow f=60,00$K: $g=20, h=40,00 \Rightarrow f=60,00$C: $g=11,18, h=33,54 \Rightarrow f=44,72$Seleciona-se C ($f=44,72$): expande D com $g=21,18, h=25,00 \Rightarrow f=46,18$.Seleciona-se D ($f=46,18$): expande F com $g=26,18, h=22,36 \Rightarrow f=48,54$.Seleciona-se F ($f=48,54$): expande L com $g=36,18, h=20,00 \Rightarrow f=56,18$.Seleciona-se L ($f=56,18$): expande M com $g=56,18, h=0,00 \Rightarrow f=56,18$.Como o nó M tem $f=56,18$, menor que qualquer outro nó na borda (B e K têm $f=60$), o caminho ótimo encontrado é ACDFLM com custo de $11,18 + 10 + 5 + 10 + 20 = 56,18$.Item II (Incorreto): A busca gulosa (Greedy Best-First Search) avalia os nós apenas pela heurística $f(n) = h(n)$. A partir do nó inicial A:Vizinhos de A: B ($h=20,00$), C ($h=33,54$), K ($h=40,00$).O menor valor de $h$ pertence ao nó B ($20,00$). Portanto, a busca gulosa escolhe o nó B, e não o nó C, não gerando a rota ACDFLM.Item III (Incorreto): Para garantir que algoritmos de busca heurística como o A* encontrem a solução ótima, a heurística deve ser admissível, isto é, nunca deve superestimar o custo para atingir o objetivo ($h(n) \le h^*(n)$).Item IV (Correto): O A* é comprovadamente um algoritmo completo (sempre encontra uma solução, se existir) e ótimo (encontra a solução de menor custo) quando utilizado com heurísticas admissíveis (em árvores) ou consistentes (em grafos).Item V (Correto): O Simulated Annealing (temperamento simulado) é um algoritmo de busca local que permite transições para estados piores com uma probabilidade que diminui ao longo do tempo (função da "temperatura" $T$ e da diferença de avaliação $\Delta E$), o que permite ao algoritmo escapar de máximos/mínimos locais.Portanto, estão certos apenas os itens I, IV e V, correspondendo à alternativa B.</t>
  </si>
  <si>
    <t>ANÁLISE DAS ALTERNATIVAS:
A: Incorreta. Os itens II e III são falsos. A busca gulosa ramifica para B a partir de A, e heurísticas adequadas não devem superestimar o custo real.
B: Correta. Os itens I, IV e V estão todos conceituais e numericamente corretos.
C: Incorreta. O item III é falso, pois uma heurística admissível jamais pode superestimar o custo de solução.
D: Incorreta. Os itens II e III são falsos.
E: Incorreta. O item II é falso.</t>
  </si>
  <si>
    <t>JUSTIFICATIVA DA AMBIGUIDADE:
Atribuiu-se valor 0 (sem ambiguidade). O enunciado fornece todos os pesos do grafo e a tabela de heurísticas de forma clara e suficiente, permitindo a verificação direta e objetiva de cada assertiva.</t>
  </si>
  <si>
    <t>JUSTIFICATIVA DOS DISTRATORES:
Atribuiu-se valor 1 (distratores moderados). A principal armadilha para o candidato desatento é confundir o comportamento da busca gulosa com o do A* (item II) ou inverter o conceito de admissibilidade heurística (item III, confundindo "não superestimar" com "superestimar").</t>
  </si>
  <si>
    <t>Inteligência Artificial – algoritmos de busca</t>
  </si>
  <si>
    <t>Busca informada (A*, busca gulosa) e busca local (simulated annealing)</t>
  </si>
  <si>
    <t>JUSTIFICATIVA DA RESPOSTA:
Com f(n) = g(n) + h(n) e h dada pela tabela, o A* funciona assim:
Partindo de A, os sucessores são C (g=11,18; f=11,18+33,54=44,72), K (g=20; f=60) e B (g=40; f=60).
Expande-se C, e D entra com g=21,18 e f=46,18.
Expande-se D, e F entra com g=26,18 e f=48,54.
Expande-se F, e L entra com g=36,18 e f=56,18. B por F (g=48,54) é pior que B direto (g=40). O nó E aparece com f maior.
Expande-se L, e M entra com g=56,18 e f=56,18, o menor da fronteira (B e K têm f=60). M é o objetivo.
A rota é ACDFLM, com custo 56,18. O item I está correto.
Na busca gulosa, só h(n) importa. Partindo de A, o menor h entre os sucessores é o de B (20), contra K (40) e C (33,54). De B, escolhe-se H (h=10). De H vai-se a G (14,14), depois I (11,18), J (5) e M. A rota é ABHGIJM, e não ACDFLM. O item II está errado.
O item III está errado. A heurística admissível deve subestimar (nunca superestimar) o custo real até o objetivo.
O item IV está correto. O A* é completo e ótimo com heurística admissível (com consistência no caso de busca em grafos).
O item V está correto. O simulated annealing aceita movimentos piores com probabilidade e^(−ΔE/T), que depende da temperatura.
Estão certos I, IV e V, alternativa B.</t>
  </si>
  <si>
    <t>ANÁLISE DAS ALTERNATIVAS:
A:
Incorreta. Inclui II (falso) e III (falso) e omite IV e V.
B:
Correta. Reúne exatamente os itens verdadeiros: I, IV e V.
C:
Incorreta. Inclui III, que é falso, e omite IV, que é verdadeiro.
D:
Incorreta. Inclui II e III, ambos falsos, e omite I e V.
E:
Incorreta. Inclui II, que é falso, e omite I, que é verdadeiro. O erro está em atribuir à busca gulosa a rota do A*.</t>
  </si>
  <si>
    <t>JUSTIFICATIVA DA AMBIGUIDADE:
Nível 0. O grafo e a tabela permitem calcular de forma determinística as rotas do A* e da busca gulosa, e os itens conceituais (III, IV, V) têm resposta clara. Alguns rótulos do grafo (por exemplo, as arestas ligadas ao nó E) são ilegíveis, mas não afetam o resultado.</t>
  </si>
  <si>
    <t>JUSTIFICATIVA DOS DISTRATORES:
Nível 1. Os distratores exigem calcular as duas buscas, mas a conta é curta. O principal risco é supor que a busca gulosa dá a mesma rota do A*, o que sustentaria o item II (alternativas D e E). O item III é uma inversão conceitual simples e derruba as alternativas A, C e D. Após a análise, B permanece claramente superior.</t>
  </si>
  <si>
    <t>Pipeline de visualização computacional</t>
  </si>
  <si>
    <t>Volume de visualização, recorte (clipping), back face culling e visibilidade de objetos</t>
  </si>
  <si>
    <t>JUSTIFICATIVA DA RESPOSTA:
Os itens I e III estão corretos.
O objeto 1, embora esteja alinhado com a linha de visão do observador, encontra-se fora do volume de visualização. Portanto, ele não será projetado na imagem final. Assim, o item I é verdadeiro.
O recorte contra o volume canônico não é suficiente para determinar quais faces são visíveis. O clipping apenas determina quais partes dos objetos estão dentro da região de visualização. A determinação de faces que não podem ser vistas pelo observador envolve técnicas como o back face culling. Portanto, o item II é falso.
O back face culling determina se uma face está voltada para o observador a partir da relação entre a orientação da face (normal) e a direção de observação, portanto utiliza informações relativas à posição/orientação do observador. O item III é verdadeiro.
Por fim, estar dentro do volume de visualização não significa que um objeto será necessariamente totalmente visível na imagem final. Ele pode ser parcialmente ou totalmente ocultado por outro objeto situado à sua frente. Logo, o item IV é falso.
Consequentemente, estão corretos apenas I e III, correspondendo à alternativa B.</t>
  </si>
  <si>
    <t>ANÁLISE DAS ALTERNATIVAS:
A:
Incorreta. O item I está correto, mas o item II está incorreto. O clipping contra o volume canônico não é, por si só, suficiente para determinar as faces visíveis.
B:
Correta. Reúne os itens I e III, ambos verdadeiros.
C:
Incorreta. O item III é verdadeiro, porém o item II é falso.
D:
Incorreta. O item III é verdadeiro, mas o item IV é falso. Estar dentro do volume de visualização não garante visibilidade total, pois pode haver oclusão.
E:
Incorreta. Tem exatamente a mesma combinação de itens apresentada em D (III e IV), e o item IV é falso.</t>
  </si>
  <si>
    <t>JUSTIFICATIVA DA AMBIGUIDADE:
Atribuo 1 (ambiguidade menor) principalmente porque há uma inconsistência formal nas alternativas: D e E são idênticas, ambas apresentando “III e IV”. Isso não impede a identificação da alternativa B, pois I e III formam uma combinação única entre as opções. Portanto, a duplicidade não gera ambiguidade relevante quanto à resposta.</t>
  </si>
  <si>
    <t>JUSTIFICATIVA DOS DISTRATORES:
Atribuo 1 (distratores moderados). As alternativas A e C podem parecer plausíveis para quem confunde recorte (clipping) com determinação de visibilidade. Além disso, o item IV pode induzir ao erro pela interpretação de que um objeto situado dentro do volume de visualização necessariamente aparecerá integralmente, ignorando a possibilidade de oclusão por outros objetos.</t>
  </si>
  <si>
    <t>Computação Gráfica</t>
  </si>
  <si>
    <t>Pipeline de Visualização 3D e Determinação de Superfícies Visíveis</t>
  </si>
  <si>
    <t>JUSTIFICATIVA DA RESPOSTA:
A análise individual dos itens revela que:
Item I (Correto): O objeto 1 encontra-se alinhado com o eito de visão do observador, porém está posicionado além do plano de corte distante (far plane) do volume de visualização (view frustum). Portanto, durante a etapa de recorte (clipping), ele é eliminado e não é exibido na imagem final.
Item II (Incorreto): O recorte contra o volume canônico apenas descarta as primitivas geométricas que estão fora do volume de visualização. Ele não resolve a visibilidade entre objetos sobrepostos que estão dentro do volume (oclusão). Para determinar as faces visíveis em caso de sobreposição, são necessários métodos de determinação de superfícies visíveis, como o Z-buffer.
Item III (Correto): A remoção de faces traseiras (back-face culling) calcula o produto escalar entre o vetor normal de cada face e o vetor que aponta da face para o observador (vetor de visão). Consequentemente, esse processo necessita obrigatoriamente da posição e orientação do observador.
Item IV (Incorreto): O objeto 2 está localizado na mesma linha de visão e à frente do objeto 3. Assim, o objeto 2 oclui (bloqueia) parcial ou totalmente o objeto 3, impedindo que o objeto 3 seja totalmente visível na imagem final.
Portanto, estão corretos apenas os itens I e III.</t>
  </si>
  <si>
    <t>ANÁLISE DAS ALTERNATIVAS:
A: Incorreta. O item I está correto, mas o item II está incorreto porque o recorte (clipping) não é suficiente para determinar a visibilidade de superfícies ocluídas.
B: Correta. Aponta corretamente os itens I e III como os únicos verdadeiros.
C: Incorreta. O item II é incorreto pelas razões descritas e o item I, que é verdadeiro, foi omitido.
D: Incorreta. O item III está correto, mas o item IV é incorreto pois o objeto 2 oclui o objeto 3.
E: Incorreta. É idêntica à alternativa D no texto da questão e incorre no mesmo erro ao considerar o item IV correto.</t>
  </si>
  <si>
    <t>JUSTIFICATIVA DA AMBIGUIDADE:
Atribuiu-se nível 0 (sem ambiguidade) porque as informações conceituais sobre o pipeline gráfico e a representação geométrica dos objetos na figura são suficientes e unívocas para determinar que apenas os itens I e III estão corretos.</t>
  </si>
  <si>
    <t>JUSTIFICATIVA DOS DISTRATORES:
Atribuiu-se nível 1 (distratores moderados). O principal ponto de atração para erro reside na alternativa A, caso o candidato confunda a função do recorte (clipping) com algoritmos de remoção de superfícies ocultas (hidden surface removal), ou na alternativa D/E, caso não observe a relação de oclusão direta do objeto 2 sobre o objeto 3 na linha de visão.</t>
  </si>
  <si>
    <t>Computação gráfica</t>
  </si>
  <si>
    <t>Pipeline de visualização (volume de visualização, recorte, remoção de faces traseiras e visibilidade)</t>
  </si>
  <si>
    <t>JUSTIFICATIVA DA RESPOSTA:
O item I é correto. A figura mostra o objeto 1 alinhado ao eixo de visão, além do plano distante (far plane) do frustum. Ele está, portanto, na direção em que o observador olha, mas fora do volume de visualização, e é eliminado pelo recorte (clipping) ou pelo culling de frustum, o que o impede de aparecer na imagem final.
O item II é incorreto. O recorte contra o volume canônico apenas descarta ou corta a geometria fora do volume de visualização. Ele não resolve a visibilidade entre objetos ou faces dentro do volume, o que exige remoção de superfícies ocultas, como z-buffer ou algoritmo do pintor, além do back face culling.
O item III é correto. O back face culling testa a orientação da normal da face em relação ao vetor de visão, isto é, à posição e à direção do observador, para descartar faces voltadas para longe dele.
O item IV é incorreto. Estar dentro do volume de visualização não garante visibilidade total. O objeto 2 fica na frente do objeto 3 na linha de visão e pode ocluí-lo parcialmente ou totalmente, dependendo do tamanho, e o resultado depende do teste de profundidade. Além disso, partes dos objetos podem ser recortadas pelas bordas do volume.
Portanto, estão certos apenas I e III.</t>
  </si>
  <si>
    <t>ANÁLISE DAS ALTERNATIVAS:
A:
Incorreta. Aceita o item I, que é correto, mas inclui o item II, que é falso, pois o recorte contra o volume canônico não determina a visibilidade entre faces.
B:
Correta. Reúne os dois itens verdadeiros, I e III.
C:
Incorreta. Inclui o item II, que é falso, e omite o item I, que é verdadeiro.
D:
Incorreta. Inclui o item IV, que é falso, pois estar dentro do volume não garante visibilidade total, e omite o item I, que é verdadeiro.
E:
Incorreta. É idêntica à alternativa D e tem o mesmo erro. Não pode ser a resposta, pois inclui o item IV, falso, e omite o item I.</t>
  </si>
  <si>
    <t>JUSTIFICATIVA DA AMBIGUIDADE:
Nível 2. As alternativas D e E são idênticas ("III e IV"), o que é uma falha formal do enunciado, embora não afete a alternativa correta. O item I também admite discussão, pois "linha de visão" pode ser lida como a direção de visão da câmera, e não como visibilidade efetiva. A leitura mais plausível, com o objeto 1 alinhado ao eixo óptico e fora do volume, sustenta que o item é verdadeiro. Como o gabarito depende dessa interpretação, atribuo o nível máximo pela inconsistência das alternativas.</t>
  </si>
  <si>
    <t>JUSTIFICATIVA DOS DISTRATORES:
Nível 1. O principal distrator é o item II, que soa plausível porque o recorte é uma etapa central do pipeline, mas confunde eliminação de geometria fora do volume com determinação de faces visíveis. O item IV é atraente por sugerir que estar no volume basta para a visibilidade, o que a oclusão entre os objetos 2 e 3 desmente. Uma análise conceitual dos itens permite identificar B como a alternativa correta.</t>
  </si>
  <si>
    <t>Máquina de Turing</t>
  </si>
  <si>
    <t>Simulação de transições, movimentação da cabeça e alteração do conteúdo da fita</t>
  </si>
  <si>
    <t>JUSTIFICATIVA DA RESPOSTA:
A máquina inicia no estado início, com a cabeça na posição 1, sobre o símbolo ●.
Estado início, posição 1:
Lê ●, mantém ●, move a cabeça para a direita e vai para o estado 0.
Cabeça → posição 2.
Estado 0: enquanto encontra 0 ou 1, a máquina troca o símbolo:
0 → 1, movendo para a direita;
1 → 0, movendo para a direita.
A fita inicialmente é:
● 0 1 1 0 1 △ △ ...
Portanto, após passar pelas posições 2 a 6:
● 1 0 0 1 0 △ △ ...
Na posição 7, encontra △ no estado 0. A transição determina:
mantém △;
move a cabeça para a esquerda;
muda para o estado 1.
Estado 1: a máquina percorre a fita para a esquerda mantendo 0 e 1 inalterados. Ao encontrar ● na posição 1, mantém ●, move uma posição para a direita e entra no estado parada.
Assim, ao parar:
a cabeça está na posição 2;
a fita contém ● 1 0 0 1 0 △ △ ....
Isso corresponde à alternativa E.</t>
  </si>
  <si>
    <t>ANÁLISE DAS ALTERNATIVAS:
A:
Incorreta. Apresenta conteúdo diferente do resultado da transformação realizada pelo estado 0. A máquina troca cada 0 por 1 e cada 1 por 0 antes de encontrar o primeiro espaço em branco.
B:
Incorreta. Mantém parte dos símbolos originais e, portanto, não representa corretamente as transições do estado 0, que alterna obrigatoriamente 0 e 1.
C:
Incorreta. Embora apresente uma configuração parcialmente próxima, os símbolos resultantes não correspondem às trocas realizadas nas posições 2 a 6. Além disso, a posição final da cabeça não corresponde ao movimento realizado após o encontro com ● no estado 1.
D:
Incorreta. Apresenta vários espaços em branco nas posições onde deveriam estar os símbolos resultantes da transformação. A máquina não apaga esses símbolos.
E:
Correta. A fita final é ● 1 0 0 1 0 △ ..., e a cabeça termina na posição 2, após o estado 1 encontrar o ● da posição 1, mover-se uma posição para a direita e entrar em parada.</t>
  </si>
  <si>
    <t>JUSTIFICATIVA DA AMBIGUIDADE:
Nível 0. A tabela de transições, a configuração inicial da fita e as alternativas fornecem informações suficientes para realizar a simulação passo a passo. Há uma única configuração final compatível com as transições.</t>
  </si>
  <si>
    <t>JUSTIFICATIVA DOS DISTRATORES:
Nível 2. Há distratores fortes porque as alternativas apresentam configurações de fita semelhantes, podendo resultar de erros específicos na simulação, como não realizar todas as inversões de 0 e 1, interpretar incorretamente o movimento para a esquerda no estado 1 ou posicionar incorretamente a cabeça após a parada.</t>
  </si>
  <si>
    <t>Teoria da Computação</t>
  </si>
  <si>
    <t>Máquinas de Turing</t>
  </si>
  <si>
    <t>JUSTIFICATIVA DA RESPOSTA:A máquina de Turing apresentada realiza o complemento bit a bit (inversão lógica de 0 para 1 e 1 para 0) do vetor de bits contido na fita e depois retorna a cabeça de leitura/gravação ao início da palavra. Acompanhando a execução passo a passo:Estado "início", Posição 1 ($\bullet$): lê $\bullet$, mantém $\bullet$, move para a direita (posição 2) e vai para o estado 0.Estado 0 (Inversão dos bits):Posição 2 (símbolo 0): grava 1, move para a direita (posição 3), permanece no estado 0.Posição 3 (símbolo 1): grava 0, move para a direita (posição 4), permanece no estado 0.Posição 4 (símbolo 1): grava 0, move para a direita (posição 5), permanece no estado 0.Posição 5 (símbolo 0): grava 1, move para a direita (posição 6), permanece no estado 0.Posição 6 (símbolo 1): grava 0, move para a direita (posição 7), permanece no estado 0.Estado 0, Posição 7 ($\triangle$): ao ler o espaço em branco, grava $\triangle$, move para a esquerda (posição 6) e passa para o estado 1.Estado 1 (Retorno ao início): a máquina desloca a cabeça para a esquerda sem alterar os símbolos contidos na fita (pois as transições para os símbolos 0 e 1 mantêm os mesmos símbolos) até alcançar o marcador $\bullet$ na posição 1.Estado 1, Posição 1 ($\bullet$): lê $\bullet$, grava $\bullet$, move para a direita (posição 2) e transita para o estado "parada".Ao final do processamento, a fita contém o símbolo $\bullet$ na posição 1, os bits invertidos $1, 0, 0, 1, 0$ nas posições 2 a 6 e espaços em branco $\triangle$ a partir da posição 7. A cabeça finaliza posicionada na posição 2, exatamente como mostrado na alternativa E.</t>
  </si>
  <si>
    <t>ANÁLISE DAS ALTERNATIVAS:A: Incorreta. Apresenta valores incorretos para os bits das posições 2 a 6 e preenche erroneamente as posições em branco com símbolos 0 e 1.B: Incorreta. Exibe o conteúdo original da fita sem nenhuma alteração nos bits, ignorando as substituições efetuadas durante as transições do estado 0.C: Incorreta. Mantém a palavra binária original nas posições de 2 a 6 e preenche de forma indevida as posições subsequentes reservadas aos espaços em branco.D: Incorreta. Substitui a sequência de bits por espaços em branco, ação que não encontra correspondência com as transições especificadas na tabela.E: Correta. Reflete exatamente o resultado da execução determinística do autômato: os bits originais $0, 1, 1, 0, 1$ foram invertidos para $1, 0, 0, 1, 0$, mantendo o delimitador $\bullet$ na posição 1 e os espaços em branco $\triangle$ nas posições seguintes.</t>
  </si>
  <si>
    <t>JUSTIFICATIVA DA AMBIGUIDADE:
Atribuiu-se nível 0 (sem ambiguidade) porque a descrição do autômato, a tabela de transição e a fita inicial são estritamente determinísticas e completas, permitindo chegar a um resultado único e sem margem para duplas interpretações.</t>
  </si>
  <si>
    <t>JUSTIFICATIVA DOS DISTRATORES:
Atribuiu-se nível 1 (distratores moderados) pois alternativas como a B (manter a fita inalterada) ou C (não alterar a palavra e modificar os brancos) exploram falhas comuns na interpretação da dinâmica dos estados, contudo a execução formal do modelo descarta facilmente todos os distratores.</t>
  </si>
  <si>
    <t>Máquinas de Turing (simulação de tabela de transições)</t>
  </si>
  <si>
    <t>JUSTIFICATIVA DA RESPOSTA:
A máquina, partindo do marcador ● na posição 1, percorre a fita para a direita no estado 0, complementando cada bit (0↔1) até encontrar o primeiro espaço em branco (posição 7). Ao encontrá-lo, mantém o branco e retorna para a esquerda no estado 1, sem alterar os símbolos, até reencontrar o marcador ● na posição 1. Então avança para a direita e para no estado "parada", com a cabeça na posição 2. A fita resultante é a versão complementada da original: ● 1 0 0 1 0 △ △ ... A máquina, portanto, calcula o complemento de 1 da cadeia binária. A alternativa E apresenta exatamente esse conteúdo de fita.</t>
  </si>
  <si>
    <t>ANÁLISE DAS ALTERNATIVAS:
A:
Incorreta. Mostra a fita com valores como 0 0 1 1 1 1 1 0 0 1 1, conteúdo que a máquina não produz. Além disso, há símbolos gravados em posições além da 6, onde a máquina só encontra brancos e não escreve nada.
B:
Incorreta. Representa a fita original, sem nenhuma modificação. Ignora a inversão de bits realizada no estado 0.
C:
Incorreta. Mantém o conteúdo original e acrescenta símbolos após a posição 6. A máquina não grava nada nas posições de branco.
D:
Incorreta. Apaga a fita, com brancos nas posições 2 a 6 e um símbolo isolado adiante. A máquina nunca grava △ sobre bits, apenas reescreve o △ encontrado.
E:
Correta. Contém ● seguido de 1 0 0 1 0 e brancos, que é o complemento bit a bit da cadeia original, coincidindo com a simulação.</t>
  </si>
  <si>
    <t>JUSTIFICATIVA DA AMBIGUIDADE:
Nível 0. A tabela de transições, a fita inicial e a posição da cabeça estão completamente especificadas, e o resultado da simulação é determinístico e único.</t>
  </si>
  <si>
    <t>JUSTIFICATIVA DOS DISTRATORES:
Nível 1. A alternativa B (fita inalterada) é a mais plausível para quem ignora a inversão ou se confunde com a volta à esquerda. As demais são facilmente descartadas por não corresponderem a nenhum comportamento da máquina. A resposta correta é claramente identificável ao simular passo a passo.</t>
  </si>
  <si>
    <t>Teoria da Complexidade Computacional</t>
  </si>
  <si>
    <t>Classes P, NP, NP-difícil e NP-completo</t>
  </si>
  <si>
    <t>JUSTIFICATIVA DA RESPOSTA:
Os itens corretos são II, III e IV.
O item I é falso porque sabemos que \(P \subseteq NP\), mas não está demonstrado que \(NP \subseteq P\). A igualdade \(P=NP\) permanece uma questão em aberto.
O item II é verdadeiro: se \(P \ne NP\), nenhum problema NP-completo pode pertencer a \(P\). Se um problema NP-completo estivesse em \(P\), então, pela propriedade de NP-completude, todos os problemas de \(NP\) poderiam ser resolvidos em tempo polinomial, implicando \(P=NP\).
O item III é verdadeiro pela própria definição: um problema que é simultaneamente NP-difícil e pertence a \(NP\) é NP-completo.
O item IV é verdadeiro. O problema SAT (satisfatibilidade booleana) pertence a \(NP\) e é NP-difícil; portanto, é NP-completo.
O item V é falso. Encontrar o caminho mais curto entre dois vértices em um grafo é um problema que pode ser resolvido em tempo polinomial, por exemplo, pelo algoritmo de Dijkstra sob pesos não negativos ou por outros algoritmos apropriados conforme as características do grafo.
Assim, estão corretos apenas II, III e IV, correspondendo à alternativa B.</t>
  </si>
  <si>
    <t>ANÁLISE DAS ALTERNATIVAS:
A:
Incorreta. Contém o item I, que é falso, e não contém o item II, que é verdadeiro.
B:
Correta. Reúne exatamente os itens verdadeiros: II, III e IV.
C:
Incorreta. Inclui o item V, que é falso, e não inclui o item II, que é verdadeiro.
D:
Incorreta. Inclui o item I, cuja afirmação \(NP \subseteq P\) não é demonstrada.
E:
Incorreta. Inclui o item V, que é falso.</t>
  </si>
  <si>
    <t>JUSTIFICATIVA DA AMBIGUIDADE:
Nível 0. O enunciado e as alternativas fornecem informações suficientes para determinar a resposta. As afirmações utilizam definições e resultados fundamentais de complexidade computacional, sem depender de interpretação relevante.</t>
  </si>
  <si>
    <t>JUSTIFICATIVA DOS DISTRATORES:
Nível 2. Os distratores são fortes porque exploram confusões conceituais comuns. O item I pode parecer verdadeiro pela confusão entre \(P \subseteq NP\) e \(P=NP\), enquanto o item V pode parecer verdadeiro para quem associa problemas de caminhos em grafos a problemas computacionalmente difíceis. As alternativas A, C, D e E combinam essas afirmações de modo plausível, exigindo a análise individual dos cinco itens.</t>
  </si>
  <si>
    <t>Classes de Complexidade Computacional (P, NP, NP-Completo e NP-Difícil)</t>
  </si>
  <si>
    <t>JUSTIFICATIVA DA RESPOSTA:A análise individual dos itens revela:Item I (Incorreto): A inclusão $P \subseteq NP$ é trivial e demonstrada (todo problema decidível em tempo polinomial determinístico também o é não-deterministicamente). Contudo, a inclusão inversa $NP \subseteq P$ é equivalente à afirmação de que $P = NP$, o qual é um problema aberto fundamental na ciência da computação e jamais foi demonstrável até o presente momento.Item II (Correto): Se um problema $X$ pertencesse à interseção $P \cap NP\text{-Completo}$, por ser $NP\text{-completo}$, todos os problemas da classe $NP$ seriam redutíveis a $X$ em tempo polinomial. Como $X \in P$, isso implicaria que todo problema em $NP$ poderia ser resolvido em tempo polinomial determinístico, provando $P = NP$. Por contraposição lógica, se $P \ne NP$, a interseção $P \cap NP\text{-Completo}$ deve ser necessariamente vazia ($\varnothing$).Item III (Correto): Por definição rigorosa, a classe $NP\text{-Completo}$ é a interseção entre os problemas que pertencem à classe $NP$ e a classe de problemas $NP\text{-difíceis}$. Logo, se $Q$ é $NP\text{-difícil}$ e $Q \in NP$, $Q$ é $NP\text{-completo}$.Item IV (Correto): O problema da satisfatibilidade booleana (SAT) foi demonstrado como sendo $NP\text{-completo}$ pelo Teorema de Cook-Levin (1971). Como todo problema $NP\text{-completo}$ é por definição $NP\text{-difícil}$, o item está correto.Item V (Incorreto): O problema do caminho mais curto em grafos pode ser resolvido em tempo polinomial determinístico utilizando algoritmos clássicos como Dijkstra ($O(M + N \log N)$) ou Bellman-Ford ($O(NM)$). Logo, ele pertence à classe $P$.Portanto, estão corretos apenas os itens II, III e IV, o que torna a alternativa B a opção correta.</t>
  </si>
  <si>
    <t>ANÁLISE DAS ALTERNATIVAS:A:Incorreta. Inclui o item I, que afirma incorretamente que é possível demonstrar $NP \subseteq P$, e omite o item II, que é conceitualmente correto.B:Correta. Identifica com precisão que apenas os itens II, III e IV estão corretos.C:Incorreta. Inclui o item V, que afirma erroneamente que o problema do caminho mais curto não pertence à classe P, e omite o item II.D:Incorreta. Inclui o item I, que traz uma afirmação não demonstrada na teoria da computação ($NP \subseteq P$).E:Incorreta. Inclui o item V, que classifica incorretamente o problema do caminho mais curto como fora da classe P.</t>
  </si>
  <si>
    <t>JUSTIFICATIVA DA AMBIGUIDADE:
A questão possui enunciado e itens formulados de maneira clara, precisa e semanticamente unívoca de acordo com a literatura técnica padrão de complexidade computacional. Não há brechas interpretativas ou termos ambíguos.</t>
  </si>
  <si>
    <t>JUSTIFICATIVA DOS DISTRATORES:
O nível de força dos distratores é 1 (moderado). O principal distrator é a alternativa E (ou C), que pode atrair candidatos que confundam o problema do caminho mais curto (que pertence à classe P) com o problema do caminho mais longo (Longest Path Problem, este sim NP-difícil/NP-completo), ou a alternativa D para aqueles que desconsiderem o caráter de problema aberto da relação $P \subseteq NP$ e $NP \subseteq P$.</t>
  </si>
  <si>
    <t>Teoria da Computação / Complexidade computacional</t>
  </si>
  <si>
    <t>Classes P, NP, NP-difícil e NP-completo; problema SAT</t>
  </si>
  <si>
    <t>JUSTIFICATIVA DA RESPOSTA:
Avaliando cada item:
I: É demonstrável que P ⊆ NP, pois todo problema decidível em tempo polinomial por uma máquina determinística também o é por uma não determinística. Já NP ⊆ P é o conteúdo da questão em aberto P vs NP, portanto não é demonstrável hoje. O item é falso.
II: Se P ≠ NP, nenhum problema NP-completo pode estar em P. Se algum problema NP-completo estivesse em P, todo problema de NP se reduziria a ele em tempo polinomial e P = NP. A contrapositiva prova o item, que é verdadeiro.
III: Por definição, um problema é NP-completo quando pertence a NP e é NP-difícil. O item é verdadeiro.
IV: O SAT foi provado NP-completo pelo Teorema de Cook-Levin, o que implica que é NP-difícil e pertence a NP. O item é verdadeiro.
V: O caminho mais curto entre dois vértices (BFS, Dijkstra, Bellman-Ford) é resolvido em tempo polinomial, então está em P. Dizer que não é da classe P é falso.
Estão certos os itens II, III e IV, o que corresponde à alternativa B.</t>
  </si>
  <si>
    <t>ANÁLISE DAS ALTERNATIVAS:
A:
Incorreta. Inclui o item I, que é falso, pois NP ⊆ P não é demonstrável, e exclui o item II, que é verdadeiro.
B:
Correta. Reúne exatamente os itens verdadeiros: II, III e IV.
C:
Incorreta. Inclui o item V, que é falso (caminho mais curto está em P), e exclui o item II, que é verdadeiro.
D:
Incorreta. Inclui o item I, que é falso, pois NP ⊆ P permanece um problema em aberto.
E:
Incorreta. Inclui o item V, que é falso, pois o problema do caminho mais curto pertence a P.</t>
  </si>
  <si>
    <t>JUSTIFICATIVA DA AMBIGUIDADE:
Nível 1. O enunciado é suficiente e há uma única alternativa correta. A expressão "é possível demonstrar" nos itens I e II é um pouco imprecisa. No item II, ela pode ser lida como "é demonstrável a implicação", que é o sentido correto. A frase inicial sobre "computabilidade" também é conceitualmente imprecisa, pois o assunto é complexidade, mas isso não afeta a resposta.</t>
  </si>
  <si>
    <t>JUSTIFICATIVA DOS DISTRATORES:
Nível 2. As alternativas são construídas por combinações de itens verdadeiros e falsos, e vários itens são parcialmente plausíveis. O item I mistura uma afirmação verdadeira (P ⊆ NP) com uma em aberto (NP ⊆ P). O item II é uma implicação condicional sutil, que pode ser descartada por engano. O item V é uma negação de um fato básico que exige atenção à redação. Os principais distratores são A e D, pela inclusão do item I, e C e E, pela inclusão do item V.</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</si>
</sst>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5">
    <font>
      <sz val="10.0"/>
      <color rgb="FF000000"/>
      <name val="Arial"/>
      <scheme val="minor"/>
    </font>
    <font>
      <color theme="1"/>
      <name val="Roboto"/>
    </font>
    <font>
      <color rgb="FF434343"/>
      <name val="Roboto"/>
    </font>
    <font>
      <color theme="1"/>
      <name val="Arial"/>
    </font>
    <font>
      <color rgb="FF11734B"/>
      <name val="Arial"/>
    </font>
    <font>
      <color rgb="FF005A55"/>
      <name val="Arial"/>
    </font>
    <font>
      <color rgb="FFD4EDBC"/>
      <name val="Roboto"/>
    </font>
    <font>
      <color rgb="FF0A53A8"/>
      <name val="Arial"/>
    </font>
    <font>
      <color rgb="FF2A4AB0"/>
      <name val="Arial"/>
    </font>
    <font>
      <color rgb="FF753800"/>
      <name val="Arial"/>
    </font>
    <font>
      <color rgb="FF11734B"/>
      <name val="Roboto"/>
    </font>
    <font>
      <color rgb="FF005A55"/>
      <name val="Roboto"/>
    </font>
    <font>
      <color rgb="FF0A53A8"/>
      <name val="Roboto"/>
    </font>
    <font>
      <color rgb="FF2A4AB0"/>
      <name val="Roboto"/>
    </font>
    <font>
      <color rgb="FF753800"/>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10">
    <border/>
    <border>
      <left style="thin">
        <color rgb="FF292F50"/>
      </left>
      <right style="thin">
        <color rgb="FFFFFFFF"/>
      </right>
      <top style="thin">
        <color rgb="FFFFFFFF"/>
      </top>
      <bottom style="thin">
        <color rgb="FFFFFFFF"/>
      </bottom>
    </border>
    <border>
      <left style="thin">
        <color rgb="FF292F50"/>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292F50"/>
      </right>
      <top style="thin">
        <color rgb="FFFFFFFF"/>
      </top>
      <bottom style="thin">
        <color rgb="FFFFFFFF"/>
      </bottom>
    </border>
    <border>
      <left style="thin">
        <color rgb="FFF6F8F9"/>
      </left>
      <right style="thin">
        <color rgb="FF292F50"/>
      </right>
      <top style="thin">
        <color rgb="FFF6F8F9"/>
      </top>
      <bottom style="thin">
        <color rgb="FFF6F8F9"/>
      </bottom>
    </border>
    <border>
      <left style="thin">
        <color rgb="FF292F50"/>
      </left>
      <right style="thin">
        <color rgb="FFFFFFFF"/>
      </right>
      <top style="thin">
        <color rgb="FFFFFFFF"/>
      </top>
      <bottom style="thin">
        <color rgb="FF292F50"/>
      </bottom>
    </border>
    <border>
      <left style="thin">
        <color rgb="FFFFFFFF"/>
      </left>
      <right style="thin">
        <color rgb="FFFFFFFF"/>
      </right>
      <top style="thin">
        <color rgb="FFFFFFFF"/>
      </top>
      <bottom style="thin">
        <color rgb="FF292F50"/>
      </bottom>
    </border>
    <border>
      <left style="thin">
        <color rgb="FFFFFFFF"/>
      </left>
      <right style="thin">
        <color rgb="FF292F50"/>
      </right>
      <top style="thin">
        <color rgb="FFFFFFFF"/>
      </top>
      <bottom style="thin">
        <color rgb="FF292F5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1" fillId="2" fontId="2" numFmtId="49" xfId="0" applyAlignment="1" applyBorder="1" applyFill="1" applyFont="1" applyNumberFormat="1">
      <alignment readingOrder="0" shrinkToFit="0" vertical="center" wrapText="0"/>
    </xf>
    <xf borderId="2" fillId="2" fontId="2" numFmtId="49" xfId="0" applyAlignment="1" applyBorder="1" applyFill="1" applyFont="1" applyNumberFormat="1">
      <alignment shrinkToFit="0" vertical="center" wrapText="0"/>
    </xf>
    <xf borderId="3" fillId="2" fontId="3" numFmtId="0" xfId="0" applyAlignment="1" applyBorder="1" applyFill="1" applyFont="1">
      <alignment readingOrder="0" shrinkToFit="0" vertical="center" wrapText="0"/>
    </xf>
    <xf borderId="4" fillId="2" fontId="2" numFmtId="49" xfId="0" applyAlignment="1" applyBorder="1" applyFill="1" applyFont="1" applyNumberFormat="1">
      <alignment shrinkToFit="0" vertical="center" wrapText="0"/>
    </xf>
    <xf borderId="3" fillId="2" fontId="3" numFmtId="49" xfId="0" applyAlignment="1" applyBorder="1" applyFill="1" applyFont="1" applyNumberFormat="1">
      <alignment readingOrder="0" shrinkToFit="0" vertical="center" wrapText="0"/>
    </xf>
    <xf borderId="4" fillId="2" fontId="2" numFmtId="0" xfId="0" applyAlignment="1" applyBorder="1" applyFill="1" applyFont="1">
      <alignment shrinkToFit="0" vertical="center" wrapText="0"/>
    </xf>
    <xf borderId="3" fillId="2" fontId="4" numFmtId="0" xfId="0" applyAlignment="1" applyBorder="1" applyFill="1" applyFont="1">
      <alignment shrinkToFit="0" vertical="center" wrapText="0"/>
    </xf>
    <xf borderId="5" fillId="2" fontId="3" numFmtId="0" xfId="0" applyAlignment="1" applyBorder="1" applyFill="1" applyFont="1">
      <alignment readingOrder="0" shrinkToFit="0" vertical="center" wrapText="0"/>
    </xf>
    <xf borderId="3" fillId="2" fontId="5" numFmtId="0" xfId="0" applyAlignment="1" applyBorder="1" applyFill="1" applyFont="1">
      <alignment shrinkToFit="0" vertical="center" wrapText="0"/>
    </xf>
    <xf borderId="3" fillId="2" fontId="3" numFmtId="164" xfId="0" applyAlignment="1" applyBorder="1" applyFill="1" applyFont="1" applyNumberFormat="1">
      <alignment readingOrder="0" shrinkToFit="0" vertical="center" wrapText="0"/>
    </xf>
    <xf borderId="4" fillId="2" fontId="2" numFmtId="164" xfId="0" applyAlignment="1" applyBorder="1" applyFill="1" applyFont="1" applyNumberFormat="1">
      <alignment horizontal="right" shrinkToFit="0" vertical="center" wrapText="0"/>
    </xf>
    <xf borderId="4" fillId="2" fontId="6" numFmtId="0" xfId="0" applyAlignment="1" applyBorder="1" applyFill="1" applyFont="1">
      <alignment shrinkToFit="0" vertical="center" wrapText="0"/>
    </xf>
    <xf borderId="3" fillId="2" fontId="3" numFmtId="0" xfId="0" applyAlignment="1" applyBorder="1" applyFill="1" applyFont="1">
      <alignment readingOrder="0" shrinkToFit="0" vertical="center" wrapText="0"/>
    </xf>
    <xf borderId="6" fillId="2" fontId="2" numFmtId="0" xfId="0" applyAlignment="1" applyBorder="1" applyFill="1" applyFont="1">
      <alignment shrinkToFit="0" vertical="center" wrapText="0"/>
    </xf>
    <xf borderId="3" fillId="2" fontId="3" numFmtId="49" xfId="0" applyAlignment="1" applyBorder="1" applyFill="1" applyFont="1" applyNumberFormat="1">
      <alignment shrinkToFit="0" vertical="center" wrapText="0"/>
    </xf>
    <xf borderId="3" fillId="2" fontId="3" numFmtId="0" xfId="0" applyAlignment="1" applyBorder="1" applyFill="1" applyFont="1">
      <alignment readingOrder="0" shrinkToFit="0" vertical="center" wrapText="0"/>
    </xf>
    <xf borderId="2" fillId="3" fontId="2" numFmtId="49" xfId="0" applyAlignment="1" applyBorder="1" applyFill="1" applyFont="1" applyNumberFormat="1">
      <alignment shrinkToFit="0" vertical="center" wrapText="0"/>
    </xf>
    <xf borderId="4" fillId="3" fontId="2" numFmtId="49" xfId="0" applyAlignment="1" applyBorder="1" applyFill="1" applyFont="1" applyNumberFormat="1">
      <alignment shrinkToFit="0" vertical="center" wrapText="0"/>
    </xf>
    <xf borderId="5" fillId="2" fontId="3" numFmtId="0" xfId="0" applyAlignment="1" applyBorder="1" applyFill="1" applyFont="1">
      <alignment readingOrder="0" shrinkToFit="0" vertical="center" wrapText="0"/>
    </xf>
    <xf borderId="4" fillId="3" fontId="2" numFmtId="0" xfId="0" applyAlignment="1" applyBorder="1" applyFill="1" applyFont="1">
      <alignment shrinkToFit="0" vertical="center" wrapText="0"/>
    </xf>
    <xf borderId="4" fillId="3" fontId="2" numFmtId="164" xfId="0" applyAlignment="1" applyBorder="1" applyFill="1" applyFont="1" applyNumberFormat="1">
      <alignment horizontal="right" shrinkToFit="0" vertical="center" wrapText="0"/>
    </xf>
    <xf borderId="4" fillId="3" fontId="6" numFmtId="0" xfId="0" applyAlignment="1" applyBorder="1" applyFill="1" applyFont="1">
      <alignment shrinkToFit="0" vertical="center" wrapText="0"/>
    </xf>
    <xf borderId="6" fillId="3" fontId="2" numFmtId="0" xfId="0" applyAlignment="1" applyBorder="1" applyFill="1" applyFont="1">
      <alignment shrinkToFit="0" vertical="center" wrapText="0"/>
    </xf>
    <xf borderId="2" fillId="3" fontId="2" numFmtId="49" xfId="0" applyAlignment="1" applyBorder="1" applyFill="1" applyFont="1" applyNumberFormat="1">
      <alignment readingOrder="0" shrinkToFit="0" vertical="center" wrapText="0"/>
    </xf>
    <xf borderId="4" fillId="3" fontId="7" numFmtId="0" xfId="0" applyAlignment="1" applyBorder="1" applyFill="1" applyFont="1">
      <alignment shrinkToFit="0" vertical="center" wrapText="0"/>
    </xf>
    <xf borderId="7" fillId="2" fontId="2" numFmtId="49" xfId="0" applyAlignment="1" applyBorder="1" applyFill="1" applyFont="1" applyNumberFormat="1">
      <alignment shrinkToFit="0" vertical="center" wrapText="0"/>
    </xf>
    <xf borderId="4" fillId="3" fontId="8" numFmtId="0" xfId="0" applyAlignment="1" applyBorder="1" applyFill="1" applyFont="1">
      <alignment shrinkToFit="0" vertical="center" wrapText="0"/>
    </xf>
    <xf borderId="8" fillId="2" fontId="3" numFmtId="49" xfId="0" applyAlignment="1" applyBorder="1" applyFill="1" applyFont="1" applyNumberFormat="1">
      <alignment shrinkToFit="0" vertical="center" wrapText="0"/>
    </xf>
    <xf borderId="4" fillId="3" fontId="3" numFmtId="49" xfId="0" applyAlignment="1" applyBorder="1" applyFill="1" applyFont="1" applyNumberFormat="1">
      <alignment readingOrder="0" shrinkToFit="0" vertical="center" wrapText="0"/>
    </xf>
    <xf borderId="8" fillId="2" fontId="2" numFmtId="0" xfId="0" applyAlignment="1" applyBorder="1" applyFill="1" applyFont="1">
      <alignment shrinkToFit="0" vertical="center" wrapText="0"/>
    </xf>
    <xf borderId="4" fillId="3" fontId="3" numFmtId="0" xfId="0" applyAlignment="1" applyBorder="1" applyFill="1" applyFont="1">
      <alignment readingOrder="0" shrinkToFit="0" vertical="center" wrapText="0"/>
    </xf>
    <xf borderId="8" fillId="2" fontId="2" numFmtId="49" xfId="0" applyAlignment="1" applyBorder="1" applyFill="1" applyFont="1" applyNumberFormat="1">
      <alignment shrinkToFit="0" vertical="center" wrapText="0"/>
    </xf>
    <xf borderId="4" fillId="3" fontId="3" numFmtId="0" xfId="0" applyAlignment="1" applyBorder="1" applyFill="1" applyFont="1">
      <alignment readingOrder="0" shrinkToFit="0" vertical="center" wrapText="0"/>
    </xf>
    <xf borderId="6" fillId="3" fontId="3" numFmtId="0" xfId="0" applyAlignment="1" applyBorder="1" applyFill="1" applyFont="1">
      <alignment readingOrder="0" shrinkToFit="0" vertical="center" wrapText="0"/>
    </xf>
    <xf borderId="8" fillId="2" fontId="2" numFmtId="164" xfId="0" applyAlignment="1" applyBorder="1" applyFill="1" applyFont="1" applyNumberFormat="1">
      <alignment horizontal="right" shrinkToFit="0" vertical="center" wrapText="0"/>
    </xf>
    <xf borderId="8" fillId="2" fontId="6" numFmtId="0" xfId="0" applyAlignment="1" applyBorder="1" applyFill="1" applyFont="1">
      <alignment shrinkToFit="0" vertical="center" wrapText="0"/>
    </xf>
    <xf borderId="4" fillId="3" fontId="3" numFmtId="0" xfId="0" applyAlignment="1" applyBorder="1" applyFill="1" applyFont="1">
      <alignment readingOrder="0" shrinkToFit="0" vertical="center" wrapText="0"/>
    </xf>
    <xf borderId="3" fillId="2" fontId="3" numFmtId="0" xfId="0" applyAlignment="1" applyBorder="1" applyFill="1" applyFont="1">
      <alignment shrinkToFit="0" vertical="center" wrapText="0"/>
    </xf>
    <xf borderId="9" fillId="2" fontId="2" numFmtId="0" xfId="0" applyAlignment="1" applyBorder="1" applyFill="1" applyFont="1">
      <alignment shrinkToFit="0" vertical="center" wrapText="0"/>
    </xf>
    <xf borderId="6" fillId="3" fontId="3" numFmtId="0" xfId="0" applyAlignment="1" applyBorder="1" applyFill="1" applyFont="1">
      <alignment readingOrder="0" shrinkToFit="0" vertical="center" wrapText="0"/>
    </xf>
    <xf borderId="3" fillId="2" fontId="2" numFmtId="0" xfId="0" applyAlignment="1" applyBorder="1" applyFill="1" applyFont="1">
      <alignment horizontal="right" shrinkToFit="0" vertical="center" wrapText="0"/>
    </xf>
    <xf borderId="3" fillId="2" fontId="9" numFmtId="0" xfId="0" applyAlignment="1" applyBorder="1" applyFill="1" applyFont="1">
      <alignment shrinkToFit="0" vertical="center" wrapText="0"/>
    </xf>
    <xf borderId="1" fillId="3" fontId="2" numFmtId="49" xfId="0" applyAlignment="1" applyBorder="1" applyFill="1" applyFont="1" applyNumberFormat="1">
      <alignment readingOrder="0" shrinkToFit="0" vertical="center" wrapText="0"/>
    </xf>
    <xf borderId="5" fillId="2" fontId="3" numFmtId="0" xfId="0" applyAlignment="1" applyBorder="1" applyFill="1" applyFont="1">
      <alignment shrinkToFit="0" vertical="center" wrapText="0"/>
    </xf>
    <xf borderId="2" fillId="2" fontId="2" numFmtId="49" xfId="0" applyAlignment="1" applyBorder="1" applyFill="1" applyFont="1" applyNumberFormat="1">
      <alignment readingOrder="0" shrinkToFit="0" vertical="center" wrapText="0"/>
    </xf>
    <xf borderId="3" fillId="2" fontId="10" numFmtId="0" xfId="0" applyAlignment="1" applyBorder="1" applyFill="1" applyFont="1">
      <alignment shrinkToFit="0" vertical="center" wrapText="0"/>
    </xf>
    <xf borderId="3" fillId="2" fontId="11" numFmtId="0" xfId="0" applyAlignment="1" applyBorder="1" applyFill="1" applyFont="1">
      <alignment shrinkToFit="0" vertical="center" wrapText="0"/>
    </xf>
    <xf borderId="3" fillId="3" fontId="3" numFmtId="49" xfId="0" applyAlignment="1" applyBorder="1" applyFill="1" applyFont="1" applyNumberFormat="1">
      <alignment shrinkToFit="0" vertical="center" wrapText="0"/>
    </xf>
    <xf borderId="3" fillId="3" fontId="3" numFmtId="0" xfId="0" applyAlignment="1" applyBorder="1" applyFill="1" applyFont="1">
      <alignment shrinkToFit="0" vertical="center" wrapText="0"/>
    </xf>
    <xf borderId="4" fillId="3" fontId="12" numFmtId="0" xfId="0" applyAlignment="1" applyBorder="1" applyFill="1" applyFont="1">
      <alignment shrinkToFit="0" vertical="center" wrapText="0"/>
    </xf>
    <xf borderId="4" fillId="3" fontId="13" numFmtId="0" xfId="0" applyAlignment="1" applyBorder="1" applyFill="1" applyFont="1">
      <alignment shrinkToFit="0" vertical="center" wrapText="0"/>
    </xf>
    <xf borderId="3" fillId="3" fontId="2" numFmtId="0" xfId="0" applyAlignment="1" applyBorder="1" applyFill="1" applyFont="1">
      <alignment horizontal="right" shrinkToFit="0" vertical="center" wrapText="0"/>
    </xf>
    <xf borderId="0" fillId="0" fontId="3" numFmtId="0" xfId="0" applyAlignment="1" applyFont="1">
      <alignment readingOrder="0" shrinkToFit="0" vertical="center" wrapText="0"/>
    </xf>
    <xf borderId="5" fillId="3" fontId="3" numFmtId="0" xfId="0" applyAlignment="1" applyBorder="1" applyFill="1" applyFont="1">
      <alignment shrinkToFit="0" vertical="center" wrapText="0"/>
    </xf>
    <xf borderId="3" fillId="2" fontId="14" numFmtId="0" xfId="0" applyAlignment="1" applyBorder="1" applyFill="1" applyFont="1">
      <alignment shrinkToFit="0" vertical="center" wrapText="0"/>
    </xf>
    <xf borderId="4" fillId="2" fontId="10" numFmtId="0" xfId="0" applyAlignment="1" applyBorder="1" applyFill="1" applyFont="1">
      <alignment shrinkToFit="0" vertical="center" wrapText="0"/>
    </xf>
    <xf borderId="4" fillId="2" fontId="11" numFmtId="0" xfId="0" applyAlignment="1" applyBorder="1" applyFill="1" applyFont="1">
      <alignment shrinkToFit="0" vertical="center" wrapText="0"/>
    </xf>
    <xf borderId="4" fillId="2" fontId="3" numFmtId="0" xfId="0" applyAlignment="1" applyBorder="1" applyFill="1" applyFont="1">
      <alignment readingOrder="0" shrinkToFit="0" vertical="center" wrapText="0"/>
    </xf>
    <xf borderId="4" fillId="2" fontId="3" numFmtId="0" xfId="0" applyAlignment="1" applyBorder="1" applyFill="1" applyFont="1">
      <alignment readingOrder="0" shrinkToFit="0" vertical="center" wrapText="0"/>
    </xf>
    <xf borderId="4" fillId="2" fontId="3" numFmtId="0" xfId="0" applyAlignment="1" applyBorder="1" applyFill="1" applyFont="1">
      <alignment readingOrder="0" shrinkToFit="0" vertical="center" wrapText="0"/>
    </xf>
    <xf borderId="4" fillId="2" fontId="3" numFmtId="49" xfId="0" applyAlignment="1" applyBorder="1" applyFill="1" applyFont="1" applyNumberFormat="1">
      <alignment readingOrder="0" shrinkToFit="0" vertical="center" wrapText="0"/>
    </xf>
    <xf borderId="6" fillId="2" fontId="3" numFmtId="0" xfId="0" applyAlignment="1" applyBorder="1" applyFill="1" applyFont="1">
      <alignment readingOrder="0" shrinkToFit="0" vertical="center" wrapText="0"/>
    </xf>
    <xf borderId="3" fillId="3" fontId="12" numFmtId="0" xfId="0" applyAlignment="1" applyBorder="1" applyFill="1" applyFont="1">
      <alignment shrinkToFit="0" vertical="center" wrapText="0"/>
    </xf>
    <xf borderId="3" fillId="3" fontId="13" numFmtId="0" xfId="0" applyAlignment="1" applyBorder="1" applyFill="1" applyFont="1">
      <alignment shrinkToFit="0" vertical="center" wrapText="0"/>
    </xf>
    <xf borderId="3" fillId="3" fontId="3" numFmtId="0" xfId="0" applyAlignment="1" applyBorder="1" applyFill="1" applyFont="1">
      <alignment readingOrder="0" shrinkToFit="0" vertical="center" wrapText="0"/>
    </xf>
    <xf borderId="3" fillId="3" fontId="3" numFmtId="0" xfId="0" applyAlignment="1" applyBorder="1" applyFill="1" applyFont="1">
      <alignment readingOrder="0" shrinkToFit="0" vertical="center" wrapText="0"/>
    </xf>
    <xf borderId="3" fillId="3" fontId="3" numFmtId="0" xfId="0" applyAlignment="1" applyBorder="1" applyFill="1" applyFont="1">
      <alignment readingOrder="0" shrinkToFit="0" vertical="center" wrapText="0"/>
    </xf>
    <xf borderId="3" fillId="3" fontId="3" numFmtId="49" xfId="0" applyAlignment="1" applyBorder="1" applyFill="1" applyFont="1" applyNumberFormat="1">
      <alignment readingOrder="0" shrinkToFit="0" vertical="center" wrapText="0"/>
    </xf>
    <xf borderId="5" fillId="3" fontId="3" numFmtId="0" xfId="0" applyAlignment="1" applyBorder="1" applyFill="1" applyFont="1">
      <alignment readingOrder="0" shrinkToFit="0" vertical="center" wrapText="0"/>
    </xf>
    <xf borderId="4" fillId="2" fontId="14" numFmtId="0" xfId="0" applyAlignment="1" applyBorder="1" applyFill="1" applyFont="1">
      <alignment shrinkToFit="0" vertical="center" wrapText="0"/>
    </xf>
    <xf borderId="4" fillId="3" fontId="10" numFmtId="0" xfId="0" applyAlignment="1" applyBorder="1" applyFill="1" applyFont="1">
      <alignment shrinkToFit="0" vertical="center" wrapText="0"/>
    </xf>
    <xf borderId="4" fillId="3" fontId="11" numFmtId="0" xfId="0" applyAlignment="1" applyBorder="1" applyFill="1" applyFont="1">
      <alignment shrinkToFit="0" vertical="center" wrapText="0"/>
    </xf>
    <xf borderId="3" fillId="2" fontId="12" numFmtId="0" xfId="0" applyAlignment="1" applyBorder="1" applyFill="1" applyFont="1">
      <alignment shrinkToFit="0" vertical="center" wrapText="0"/>
    </xf>
    <xf borderId="3" fillId="2" fontId="13" numFmtId="0" xfId="0" applyAlignment="1" applyBorder="1" applyFill="1" applyFont="1">
      <alignment shrinkToFit="0" vertical="center" wrapText="0"/>
    </xf>
    <xf borderId="4" fillId="3" fontId="14" numFmtId="0" xfId="0" applyAlignment="1" applyBorder="1" applyFill="1" applyFont="1">
      <alignment shrinkToFit="0" vertical="center" wrapText="0"/>
    </xf>
    <xf borderId="1" fillId="2" fontId="2" numFmtId="49" xfId="0" applyAlignment="1" applyBorder="1" applyFill="1" applyFont="1" applyNumberFormat="1">
      <alignment readingOrder="0" shrinkToFit="0" vertical="bottom" wrapText="0"/>
    </xf>
    <xf borderId="3" fillId="2" fontId="10" numFmtId="0" xfId="0" applyAlignment="1" applyBorder="1" applyFill="1" applyFont="1">
      <alignment shrinkToFit="0" vertical="bottom" wrapText="0"/>
    </xf>
    <xf borderId="3" fillId="2" fontId="11" numFmtId="0" xfId="0" applyAlignment="1" applyBorder="1" applyFill="1" applyFont="1">
      <alignment shrinkToFit="0" vertical="bottom" wrapText="0"/>
    </xf>
    <xf borderId="3" fillId="2" fontId="3" numFmtId="0" xfId="0" applyAlignment="1" applyBorder="1" applyFill="1" applyFont="1">
      <alignment readingOrder="0" shrinkToFit="0" vertical="bottom" wrapText="0"/>
    </xf>
    <xf borderId="3" fillId="2" fontId="3" numFmtId="0" xfId="0" applyAlignment="1" applyBorder="1" applyFill="1" applyFont="1">
      <alignment readingOrder="0" shrinkToFit="0" vertical="bottom" wrapText="0"/>
    </xf>
    <xf borderId="3" fillId="2" fontId="3" numFmtId="0" xfId="0" applyAlignment="1" applyBorder="1" applyFill="1" applyFont="1">
      <alignment readingOrder="0" shrinkToFit="0" vertical="bottom" wrapText="0"/>
    </xf>
    <xf borderId="3" fillId="2" fontId="3" numFmtId="49" xfId="0" applyAlignment="1" applyBorder="1" applyFill="1" applyFont="1" applyNumberFormat="1">
      <alignment readingOrder="0" shrinkToFit="0" vertical="bottom" wrapText="0"/>
    </xf>
    <xf borderId="5" fillId="2" fontId="3" numFmtId="0" xfId="0" applyAlignment="1" applyBorder="1" applyFill="1" applyFont="1">
      <alignment readingOrder="0" shrinkToFit="0" vertical="bottom" wrapText="0"/>
    </xf>
    <xf borderId="2" fillId="3" fontId="2" numFmtId="49" xfId="0" applyAlignment="1" applyBorder="1" applyFill="1" applyFont="1" applyNumberFormat="1">
      <alignment readingOrder="0" shrinkToFit="0" vertical="bottom" wrapText="0"/>
    </xf>
    <xf borderId="4" fillId="3" fontId="12" numFmtId="0" xfId="0" applyAlignment="1" applyBorder="1" applyFill="1" applyFont="1">
      <alignment shrinkToFit="0" vertical="bottom" wrapText="0"/>
    </xf>
    <xf borderId="4" fillId="3" fontId="13" numFmtId="0" xfId="0" applyAlignment="1" applyBorder="1" applyFill="1" applyFont="1">
      <alignment shrinkToFit="0" vertical="bottom" wrapText="0"/>
    </xf>
    <xf borderId="4" fillId="3" fontId="3" numFmtId="0" xfId="0" applyAlignment="1" applyBorder="1" applyFill="1" applyFont="1">
      <alignment readingOrder="0" shrinkToFit="0" vertical="bottom" wrapText="0"/>
    </xf>
    <xf borderId="4" fillId="3" fontId="3" numFmtId="0" xfId="0" applyAlignment="1" applyBorder="1" applyFill="1" applyFont="1">
      <alignment readingOrder="0" shrinkToFit="0" vertical="bottom" wrapText="0"/>
    </xf>
    <xf borderId="4" fillId="3" fontId="3" numFmtId="0" xfId="0" applyAlignment="1" applyBorder="1" applyFill="1" applyFont="1">
      <alignment readingOrder="0" shrinkToFit="0" vertical="bottom" wrapText="0"/>
    </xf>
    <xf borderId="4" fillId="3" fontId="3" numFmtId="49" xfId="0" applyAlignment="1" applyBorder="1" applyFill="1" applyFont="1" applyNumberFormat="1">
      <alignment readingOrder="0" shrinkToFit="0" vertical="bottom" wrapText="0"/>
    </xf>
    <xf borderId="6" fillId="3" fontId="3" numFmtId="0" xfId="0" applyAlignment="1" applyBorder="1" applyFill="1" applyFont="1">
      <alignment readingOrder="0" shrinkToFit="0" vertical="bottom" wrapText="0"/>
    </xf>
    <xf borderId="3" fillId="2" fontId="14" numFmtId="0" xfId="0" applyAlignment="1" applyBorder="1" applyFill="1" applyFont="1">
      <alignment shrinkToFit="0" vertical="bottom" wrapText="0"/>
    </xf>
    <xf borderId="4" fillId="3" fontId="10" numFmtId="0" xfId="0" applyAlignment="1" applyBorder="1" applyFill="1" applyFont="1">
      <alignment shrinkToFit="0" vertical="bottom" wrapText="0"/>
    </xf>
    <xf borderId="4" fillId="3" fontId="11" numFmtId="0" xfId="0" applyAlignment="1" applyBorder="1" applyFill="1" applyFont="1">
      <alignment shrinkToFit="0" vertical="bottom" wrapText="0"/>
    </xf>
    <xf borderId="3" fillId="2" fontId="12" numFmtId="0" xfId="0" applyAlignment="1" applyBorder="1" applyFill="1" applyFont="1">
      <alignment shrinkToFit="0" vertical="bottom" wrapText="0"/>
    </xf>
    <xf borderId="3" fillId="2" fontId="13" numFmtId="0" xfId="0" applyAlignment="1" applyBorder="1" applyFill="1" applyFont="1">
      <alignment shrinkToFit="0" vertical="bottom" wrapText="0"/>
    </xf>
    <xf borderId="4" fillId="3" fontId="14" numFmtId="0" xfId="0" applyAlignment="1" applyBorder="1" applyFill="1" applyFont="1">
      <alignment shrinkToFit="0" vertical="bottom" wrapText="0"/>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5">
    <tableStyle count="4" pivot="0" name="Questões-style">
      <tableStyleElement dxfId="1" type="headerRow"/>
      <tableStyleElement dxfId="2" type="firstRowStripe"/>
      <tableStyleElement dxfId="3" type="secondRowStripe"/>
      <tableStyleElement dxfId="4" size="0" type="wholeTable"/>
    </tableStyle>
    <tableStyle count="4" pivot="0" name="Prompts-style">
      <tableStyleElement dxfId="1" type="headerRow"/>
      <tableStyleElement dxfId="2" type="firstRowStripe"/>
      <tableStyleElement dxfId="3" type="secondRowStripe"/>
      <tableStyleElement dxfId="4" size="0" type="wholeTable"/>
    </tableStyle>
    <tableStyle count="4" pivot="0" name="Respostas LLM-style">
      <tableStyleElement dxfId="1" type="headerRow"/>
      <tableStyleElement dxfId="2" type="firstRowStripe"/>
      <tableStyleElement dxfId="3" type="secondRowStripe"/>
      <tableStyleElement dxfId="4" size="0" type="wholeTable"/>
    </tableStyle>
    <tableStyle count="4" pivot="0" name="Consenso-style">
      <tableStyleElement dxfId="1" type="headerRow"/>
      <tableStyleElement dxfId="2" type="firstRowStripe"/>
      <tableStyleElement dxfId="3" type="secondRowStripe"/>
      <tableStyleElement dxfId="4" size="0" type="wholeTable"/>
    </tableStyle>
    <tableStyle count="4" pivot="0" name="Gabarito_INE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9" displayName="Questões" name="Questões" id="3">
  <tableColumns count="5">
    <tableColumn name="Questão " id="1"/>
    <tableColumn name="Tipo" id="2"/>
    <tableColumn name="Enunciado" id="3"/>
    <tableColumn name="Possui figura?" id="4"/>
    <tableColumn name="Situação" id="5"/>
  </tableColumns>
  <tableStyleInfo name="Questões-style" showColumnStripes="0" showFirstColumn="1" showLastColumn="1" showRowStripes="1"/>
</table>
</file>

<file path=xl/tables/table2.xml><?xml version="1.0" encoding="utf-8"?>
<table xmlns="http://schemas.openxmlformats.org/spreadsheetml/2006/main" ref="A1:O25" displayName="Respostas_LLM" name="Respostas_LLM" id="4">
  <tableColumns count="15">
    <tableColumn name="Questão" id="1"/>
    <tableColumn name="LLM" id="2"/>
    <tableColumn name="Modelo" id="3"/>
    <tableColumn name="Data" id="4"/>
    <tableColumn name="Alternativa" id="5"/>
    <tableColumn name="Confiança" id="6"/>
    <tableColumn name="Dificuldade" id="7"/>
    <tableColumn name="Ambiguidade" id="8"/>
    <tableColumn name="Força dos distratores" id="9"/>
    <tableColumn name="Tema" id="10"/>
    <tableColumn name="Subtema" id="11"/>
    <tableColumn name="Justificativa da resposta" id="12"/>
    <tableColumn name="Análise das alternativas" id="13"/>
    <tableColumn name="Justificativa da ambiguidade" id="14"/>
    <tableColumn name="Justificativa dos distratores" id="15"/>
  </tableColumns>
  <tableStyleInfo name="Respostas LLM-style" showColumnStripes="0" showFirstColumn="1" showLastColumn="1" showRowStripes="1"/>
</table>
</file>

<file path=xl/tables/table3.xml><?xml version="1.0" encoding="utf-8"?>
<table xmlns="http://schemas.openxmlformats.org/spreadsheetml/2006/main" ref="A1:O9" displayName="Consenso" name="Consenso" id="2">
  <tableColumns count="15">
    <tableColumn name="Questão " id="1"/>
    <tableColumn name="ChatGPT" id="2"/>
    <tableColumn name="Gemini" id="3"/>
    <tableColumn name="Claude" id="4"/>
    <tableColumn name="Consenso" id="5"/>
    <tableColumn name="Resposta Majoritária" id="6"/>
    <tableColumn name="Gabarito INEP" id="7"/>
    <tableColumn name="Acertos" id="8"/>
    <tableColumn name="Confiança média" id="9"/>
    <tableColumn name="Dificuldade média" id="10"/>
    <tableColumn name="Ambiguidade média" id="11"/>
    <tableColumn name="Ambiguidade máxima" id="12"/>
    <tableColumn name="Força dos distratores média" id="13"/>
    <tableColumn name="Concorda com INEP?" id="14"/>
    <tableColumn name="Classificação do resultado" id="15"/>
  </tableColumns>
  <tableStyleInfo name="Consenso-style" showColumnStripes="0" showFirstColumn="1" showLastColumn="1" showRowStripes="1"/>
</table>
</file>

<file path=xl/tables/table4.xml><?xml version="1.0" encoding="utf-8"?>
<table xmlns="http://schemas.openxmlformats.org/spreadsheetml/2006/main" ref="A1:G4" displayName="Prompts" name="Prompts" id="1">
  <tableColumns count="7">
    <tableColumn name="Nome do prompt" id="1"/>
    <tableColumn name="Versão" id="2"/>
    <tableColumn name="Finalidade" id="3"/>
    <tableColumn name="Modelos utilizados" id="4"/>
    <tableColumn name="Data de início" id="5"/>
    <tableColumn name="Status" id="6"/>
    <tableColumn name="Texto completo do prompt" id="7"/>
  </tableColumns>
  <tableStyleInfo name="Prompts-style" showColumnStripes="0" showFirstColumn="1" showLastColumn="1" showRowStripes="1"/>
</table>
</file>

<file path=xl/tables/table5.xml><?xml version="1.0" encoding="utf-8"?>
<table xmlns="http://schemas.openxmlformats.org/spreadsheetml/2006/main" ref="A1:B9" displayName="Gabarito_INEP" name="Gabarito_INEP" id="5">
  <tableColumns count="2">
    <tableColumn name="Questão " id="1"/>
    <tableColumn name="Gabarito INEP" id="2"/>
  </tableColumns>
  <tableStyleInfo name="Gabarito_INE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 t="s">
        <v>1</v>
      </c>
      <c r="B1" s="2" t="s">
        <v>9</v>
      </c>
      <c r="C1" s="2" t="s">
        <v>13</v>
      </c>
      <c r="D1" s="3" t="s">
        <v>17</v>
      </c>
      <c r="E1" s="3" t="s">
        <v>21</v>
      </c>
    </row>
    <row r="2" ht="26.25" customHeight="1">
      <c r="A2" s="4" t="s">
        <v>26</v>
      </c>
      <c r="B2" s="6" t="s">
        <v>40</v>
      </c>
      <c r="C2" s="8" t="s">
        <v>46</v>
      </c>
      <c r="D2" s="6" t="s">
        <v>48</v>
      </c>
      <c r="E2" s="11" t="s">
        <v>50</v>
      </c>
    </row>
    <row r="3" ht="26.25" customHeight="1">
      <c r="A3" s="4" t="s">
        <v>55</v>
      </c>
      <c r="B3" s="6" t="s">
        <v>40</v>
      </c>
      <c r="C3" s="8" t="s">
        <v>58</v>
      </c>
      <c r="D3" s="6" t="s">
        <v>60</v>
      </c>
      <c r="E3" s="11" t="s">
        <v>50</v>
      </c>
    </row>
    <row r="4" ht="26.25" customHeight="1">
      <c r="A4" s="4" t="s">
        <v>68</v>
      </c>
      <c r="B4" s="6" t="s">
        <v>40</v>
      </c>
      <c r="C4" s="8" t="s">
        <v>69</v>
      </c>
      <c r="D4" s="6" t="s">
        <v>48</v>
      </c>
      <c r="E4" s="11" t="s">
        <v>50</v>
      </c>
    </row>
    <row r="5" ht="26.25" customHeight="1">
      <c r="A5" s="27" t="s">
        <v>71</v>
      </c>
      <c r="B5" s="6" t="s">
        <v>40</v>
      </c>
      <c r="C5" s="32" t="s">
        <v>73</v>
      </c>
      <c r="D5" s="34" t="s">
        <v>60</v>
      </c>
      <c r="E5" s="37" t="s">
        <v>50</v>
      </c>
    </row>
    <row r="6" ht="26.25" customHeight="1">
      <c r="A6" s="27" t="s">
        <v>77</v>
      </c>
      <c r="B6" s="6" t="s">
        <v>40</v>
      </c>
      <c r="C6" s="32" t="s">
        <v>79</v>
      </c>
      <c r="D6" s="34" t="s">
        <v>60</v>
      </c>
      <c r="E6" s="37" t="s">
        <v>50</v>
      </c>
    </row>
    <row r="7" ht="26.25" customHeight="1">
      <c r="A7" s="27" t="s">
        <v>84</v>
      </c>
      <c r="B7" s="6" t="s">
        <v>40</v>
      </c>
      <c r="C7" s="32" t="s">
        <v>86</v>
      </c>
      <c r="D7" s="34" t="s">
        <v>60</v>
      </c>
      <c r="E7" s="37" t="s">
        <v>50</v>
      </c>
    </row>
    <row r="8" ht="26.25" customHeight="1">
      <c r="A8" s="46" t="s">
        <v>89</v>
      </c>
      <c r="B8" s="6" t="s">
        <v>40</v>
      </c>
      <c r="C8" s="32" t="s">
        <v>92</v>
      </c>
      <c r="D8" s="34" t="s">
        <v>60</v>
      </c>
      <c r="E8" s="37" t="s">
        <v>50</v>
      </c>
    </row>
    <row r="9" ht="26.25" customHeight="1">
      <c r="A9" s="48" t="s">
        <v>95</v>
      </c>
      <c r="B9" s="6" t="s">
        <v>40</v>
      </c>
      <c r="C9" s="8" t="s">
        <v>97</v>
      </c>
      <c r="D9" s="6" t="s">
        <v>48</v>
      </c>
      <c r="E9" s="11" t="s">
        <v>50</v>
      </c>
    </row>
  </sheetData>
  <dataValidations>
    <dataValidation type="list" allowBlank="1" sqref="D2:D9">
      <formula1>"Sim,Não"</formula1>
    </dataValidation>
    <dataValidation allowBlank="1" showDropDown="1" sqref="A2:A9"/>
    <dataValidation type="list" allowBlank="1" sqref="B2:B9">
      <formula1>"Formação Geral,Componente Específico "</formula1>
    </dataValidation>
    <dataValidation allowBlank="1" showDropDown="1" sqref="C2:C9"/>
    <dataValidation type="list" allowBlank="1" sqref="E2:E9">
      <formula1>"Não iniciada,Em resolução pelas LLMs,Judge concluído,Em revisão humana,Finalizada"</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2" t="s">
        <v>3</v>
      </c>
      <c r="C1" s="2" t="s">
        <v>5</v>
      </c>
      <c r="D1" s="2" t="s">
        <v>8</v>
      </c>
      <c r="E1" s="2" t="s">
        <v>11</v>
      </c>
      <c r="F1" s="3" t="s">
        <v>15</v>
      </c>
      <c r="G1" s="3" t="s">
        <v>20</v>
      </c>
      <c r="H1" s="3" t="s">
        <v>23</v>
      </c>
      <c r="I1" s="3" t="s">
        <v>25</v>
      </c>
      <c r="J1" s="3" t="s">
        <v>29</v>
      </c>
      <c r="K1" s="3" t="s">
        <v>30</v>
      </c>
      <c r="L1" s="3" t="s">
        <v>32</v>
      </c>
      <c r="M1" s="3" t="s">
        <v>34</v>
      </c>
      <c r="N1" s="3" t="s">
        <v>37</v>
      </c>
      <c r="O1" s="3" t="s">
        <v>38</v>
      </c>
    </row>
    <row r="2" ht="26.25" customHeight="1">
      <c r="A2" s="4" t="s">
        <v>42</v>
      </c>
      <c r="B2" s="10" t="s">
        <v>6</v>
      </c>
      <c r="C2" s="12" t="s">
        <v>51</v>
      </c>
      <c r="D2" s="13">
        <v>46293.0</v>
      </c>
      <c r="E2" s="6" t="s">
        <v>52</v>
      </c>
      <c r="F2" s="16">
        <v>97.0</v>
      </c>
      <c r="G2" s="16">
        <v>3.0</v>
      </c>
      <c r="H2" s="16">
        <v>0.0</v>
      </c>
      <c r="I2" s="19">
        <v>2.0</v>
      </c>
      <c r="J2" s="8" t="s">
        <v>56</v>
      </c>
      <c r="K2" s="8" t="s">
        <v>57</v>
      </c>
      <c r="L2" s="19" t="s">
        <v>59</v>
      </c>
      <c r="M2" s="19" t="s">
        <v>62</v>
      </c>
      <c r="N2" s="19" t="s">
        <v>63</v>
      </c>
      <c r="O2" s="22" t="s">
        <v>65</v>
      </c>
    </row>
    <row r="3" ht="26.25" customHeight="1">
      <c r="A3" s="27" t="s">
        <v>42</v>
      </c>
      <c r="B3" s="28" t="s">
        <v>12</v>
      </c>
      <c r="C3" s="30" t="s">
        <v>72</v>
      </c>
      <c r="D3" s="13">
        <v>46293.0</v>
      </c>
      <c r="E3" s="34" t="s">
        <v>52</v>
      </c>
      <c r="F3" s="36">
        <v>100.0</v>
      </c>
      <c r="G3" s="36">
        <v>3.0</v>
      </c>
      <c r="H3" s="36">
        <v>0.0</v>
      </c>
      <c r="I3" s="40">
        <v>1.0</v>
      </c>
      <c r="J3" s="32" t="s">
        <v>75</v>
      </c>
      <c r="K3" s="32" t="s">
        <v>76</v>
      </c>
      <c r="L3" s="40" t="s">
        <v>78</v>
      </c>
      <c r="M3" s="40" t="s">
        <v>80</v>
      </c>
      <c r="N3" s="40" t="s">
        <v>81</v>
      </c>
      <c r="O3" s="43" t="s">
        <v>83</v>
      </c>
    </row>
    <row r="4" ht="26.25" customHeight="1">
      <c r="A4" s="4" t="s">
        <v>42</v>
      </c>
      <c r="B4" s="45" t="s">
        <v>16</v>
      </c>
      <c r="C4" s="45" t="s">
        <v>85</v>
      </c>
      <c r="D4" s="13">
        <v>46293.0</v>
      </c>
      <c r="E4" s="6" t="s">
        <v>52</v>
      </c>
      <c r="F4" s="16">
        <v>90.0</v>
      </c>
      <c r="G4" s="16">
        <v>3.0</v>
      </c>
      <c r="H4" s="16">
        <v>0.0</v>
      </c>
      <c r="I4" s="19">
        <v>1.0</v>
      </c>
      <c r="J4" s="8" t="s">
        <v>87</v>
      </c>
      <c r="K4" s="8" t="s">
        <v>88</v>
      </c>
      <c r="L4" s="19" t="s">
        <v>90</v>
      </c>
      <c r="M4" s="19" t="s">
        <v>91</v>
      </c>
      <c r="N4" s="19" t="s">
        <v>93</v>
      </c>
      <c r="O4" s="22" t="s">
        <v>94</v>
      </c>
    </row>
    <row r="5" ht="26.25" customHeight="1">
      <c r="A5" s="4" t="s">
        <v>96</v>
      </c>
      <c r="B5" s="49" t="s">
        <v>6</v>
      </c>
      <c r="C5" s="50" t="s">
        <v>51</v>
      </c>
      <c r="D5" s="13">
        <v>46293.0</v>
      </c>
      <c r="E5" s="6" t="s">
        <v>99</v>
      </c>
      <c r="F5" s="16">
        <v>35.0</v>
      </c>
      <c r="G5" s="16">
        <v>4.0</v>
      </c>
      <c r="H5" s="16">
        <v>2.0</v>
      </c>
      <c r="I5" s="19">
        <v>2.0</v>
      </c>
      <c r="J5" s="8" t="s">
        <v>103</v>
      </c>
      <c r="K5" s="8" t="s">
        <v>104</v>
      </c>
      <c r="L5" s="19" t="s">
        <v>105</v>
      </c>
      <c r="M5" s="19" t="s">
        <v>106</v>
      </c>
      <c r="N5" s="19" t="s">
        <v>108</v>
      </c>
      <c r="O5" s="22" t="s">
        <v>110</v>
      </c>
    </row>
    <row r="6" ht="26.25" customHeight="1">
      <c r="A6" s="27" t="s">
        <v>96</v>
      </c>
      <c r="B6" s="53" t="s">
        <v>12</v>
      </c>
      <c r="C6" s="54" t="s">
        <v>72</v>
      </c>
      <c r="D6" s="13">
        <v>46293.0</v>
      </c>
      <c r="E6" s="34" t="s">
        <v>98</v>
      </c>
      <c r="F6" s="36">
        <v>100.0</v>
      </c>
      <c r="G6" s="36">
        <v>2.0</v>
      </c>
      <c r="H6" s="36">
        <v>0.0</v>
      </c>
      <c r="I6" s="40">
        <v>1.0</v>
      </c>
      <c r="J6" s="32" t="s">
        <v>114</v>
      </c>
      <c r="K6" s="32" t="s">
        <v>115</v>
      </c>
      <c r="L6" s="56" t="s">
        <v>116</v>
      </c>
      <c r="M6" s="40" t="s">
        <v>117</v>
      </c>
      <c r="N6" s="40" t="s">
        <v>118</v>
      </c>
      <c r="O6" s="43" t="s">
        <v>119</v>
      </c>
    </row>
    <row r="7" ht="26.25" customHeight="1">
      <c r="A7" s="4" t="s">
        <v>96</v>
      </c>
      <c r="B7" s="58" t="s">
        <v>16</v>
      </c>
      <c r="C7" s="58" t="s">
        <v>85</v>
      </c>
      <c r="D7" s="13">
        <v>46293.0</v>
      </c>
      <c r="E7" s="6" t="s">
        <v>98</v>
      </c>
      <c r="F7" s="16">
        <v>93.0</v>
      </c>
      <c r="G7" s="16">
        <v>2.0</v>
      </c>
      <c r="H7" s="16">
        <v>0.0</v>
      </c>
      <c r="I7" s="19">
        <v>1.0</v>
      </c>
      <c r="J7" s="8" t="s">
        <v>120</v>
      </c>
      <c r="K7" s="8" t="s">
        <v>121</v>
      </c>
      <c r="L7" s="19" t="s">
        <v>122</v>
      </c>
      <c r="M7" s="19" t="s">
        <v>123</v>
      </c>
      <c r="N7" s="19" t="s">
        <v>124</v>
      </c>
      <c r="O7" s="22" t="s">
        <v>125</v>
      </c>
    </row>
    <row r="8" ht="26.25" customHeight="1">
      <c r="A8" s="48" t="s">
        <v>100</v>
      </c>
      <c r="B8" s="59" t="s">
        <v>6</v>
      </c>
      <c r="C8" s="60" t="s">
        <v>51</v>
      </c>
      <c r="D8" s="13">
        <v>46293.0</v>
      </c>
      <c r="E8" s="61" t="s">
        <v>101</v>
      </c>
      <c r="F8" s="62">
        <v>94.0</v>
      </c>
      <c r="G8" s="62">
        <v>3.0</v>
      </c>
      <c r="H8" s="62">
        <v>0.0</v>
      </c>
      <c r="I8" s="63">
        <v>2.0</v>
      </c>
      <c r="J8" s="64" t="s">
        <v>126</v>
      </c>
      <c r="K8" s="64" t="s">
        <v>127</v>
      </c>
      <c r="L8" s="63" t="s">
        <v>128</v>
      </c>
      <c r="M8" s="63" t="s">
        <v>129</v>
      </c>
      <c r="N8" s="63" t="s">
        <v>130</v>
      </c>
      <c r="O8" s="65" t="s">
        <v>131</v>
      </c>
    </row>
    <row r="9" ht="26.25" customHeight="1">
      <c r="A9" s="46" t="s">
        <v>100</v>
      </c>
      <c r="B9" s="66" t="s">
        <v>12</v>
      </c>
      <c r="C9" s="67" t="s">
        <v>72</v>
      </c>
      <c r="D9" s="13">
        <v>46293.0</v>
      </c>
      <c r="E9" s="68" t="s">
        <v>101</v>
      </c>
      <c r="F9" s="69">
        <v>95.0</v>
      </c>
      <c r="G9" s="69">
        <v>3.0</v>
      </c>
      <c r="H9" s="69">
        <v>0.0</v>
      </c>
      <c r="I9" s="70">
        <v>1.0</v>
      </c>
      <c r="J9" s="71" t="s">
        <v>132</v>
      </c>
      <c r="K9" s="71" t="s">
        <v>133</v>
      </c>
      <c r="L9" s="70" t="s">
        <v>134</v>
      </c>
      <c r="M9" s="70" t="s">
        <v>135</v>
      </c>
      <c r="N9" s="70" t="s">
        <v>136</v>
      </c>
      <c r="O9" s="72" t="s">
        <v>137</v>
      </c>
    </row>
    <row r="10" ht="26.25" customHeight="1">
      <c r="A10" s="48" t="s">
        <v>100</v>
      </c>
      <c r="B10" s="73" t="s">
        <v>16</v>
      </c>
      <c r="C10" s="73" t="s">
        <v>85</v>
      </c>
      <c r="D10" s="13">
        <v>46293.0</v>
      </c>
      <c r="E10" s="61" t="s">
        <v>101</v>
      </c>
      <c r="F10" s="62">
        <v>55.0</v>
      </c>
      <c r="G10" s="62">
        <v>3.0</v>
      </c>
      <c r="H10" s="62">
        <v>1.0</v>
      </c>
      <c r="I10" s="63">
        <v>2.0</v>
      </c>
      <c r="J10" s="64" t="s">
        <v>138</v>
      </c>
      <c r="K10" s="64" t="s">
        <v>139</v>
      </c>
      <c r="L10" s="63" t="s">
        <v>140</v>
      </c>
      <c r="M10" s="63" t="s">
        <v>141</v>
      </c>
      <c r="N10" s="63" t="s">
        <v>142</v>
      </c>
      <c r="O10" s="65" t="s">
        <v>143</v>
      </c>
    </row>
    <row r="11" ht="26.25" customHeight="1">
      <c r="A11" s="27" t="s">
        <v>102</v>
      </c>
      <c r="B11" s="74" t="s">
        <v>6</v>
      </c>
      <c r="C11" s="75" t="s">
        <v>51</v>
      </c>
      <c r="D11" s="13">
        <v>46293.0</v>
      </c>
      <c r="E11" s="34" t="s">
        <v>98</v>
      </c>
      <c r="F11" s="36">
        <v>100.0</v>
      </c>
      <c r="G11" s="36">
        <v>2.0</v>
      </c>
      <c r="H11" s="36">
        <v>0.0</v>
      </c>
      <c r="I11" s="40">
        <v>1.0</v>
      </c>
      <c r="J11" s="32" t="s">
        <v>144</v>
      </c>
      <c r="K11" s="32" t="s">
        <v>145</v>
      </c>
      <c r="L11" s="40" t="s">
        <v>146</v>
      </c>
      <c r="M11" s="40" t="s">
        <v>147</v>
      </c>
      <c r="N11" s="40" t="s">
        <v>148</v>
      </c>
      <c r="O11" s="43" t="s">
        <v>149</v>
      </c>
    </row>
    <row r="12" ht="26.25" customHeight="1">
      <c r="A12" s="4" t="s">
        <v>102</v>
      </c>
      <c r="B12" s="76" t="s">
        <v>12</v>
      </c>
      <c r="C12" s="77" t="s">
        <v>72</v>
      </c>
      <c r="D12" s="13">
        <v>46293.0</v>
      </c>
      <c r="E12" s="6" t="s">
        <v>98</v>
      </c>
      <c r="F12" s="16">
        <v>100.0</v>
      </c>
      <c r="G12" s="16">
        <v>2.0</v>
      </c>
      <c r="H12" s="16">
        <v>0.0</v>
      </c>
      <c r="I12" s="19">
        <v>1.0</v>
      </c>
      <c r="J12" s="8" t="s">
        <v>150</v>
      </c>
      <c r="K12" s="8" t="s">
        <v>151</v>
      </c>
      <c r="L12" s="19" t="s">
        <v>152</v>
      </c>
      <c r="M12" s="19" t="s">
        <v>153</v>
      </c>
      <c r="N12" s="19" t="s">
        <v>154</v>
      </c>
      <c r="O12" s="22" t="s">
        <v>155</v>
      </c>
    </row>
    <row r="13" ht="26.25" customHeight="1">
      <c r="A13" s="27" t="s">
        <v>102</v>
      </c>
      <c r="B13" s="78" t="s">
        <v>16</v>
      </c>
      <c r="C13" s="78" t="s">
        <v>85</v>
      </c>
      <c r="D13" s="13">
        <v>46293.0</v>
      </c>
      <c r="E13" s="34" t="s">
        <v>98</v>
      </c>
      <c r="F13" s="36">
        <v>97.0</v>
      </c>
      <c r="G13" s="36">
        <v>2.0</v>
      </c>
      <c r="H13" s="36">
        <v>0.0</v>
      </c>
      <c r="I13" s="40">
        <v>1.0</v>
      </c>
      <c r="J13" s="32" t="s">
        <v>150</v>
      </c>
      <c r="K13" s="32" t="s">
        <v>156</v>
      </c>
      <c r="L13" s="40" t="s">
        <v>157</v>
      </c>
      <c r="M13" s="40" t="s">
        <v>158</v>
      </c>
      <c r="N13" s="40" t="s">
        <v>159</v>
      </c>
      <c r="O13" s="43" t="s">
        <v>160</v>
      </c>
    </row>
    <row r="14" ht="26.25" customHeight="1">
      <c r="A14" s="27" t="s">
        <v>107</v>
      </c>
      <c r="B14" s="74" t="s">
        <v>6</v>
      </c>
      <c r="C14" s="75" t="s">
        <v>51</v>
      </c>
      <c r="D14" s="13">
        <v>46293.0</v>
      </c>
      <c r="E14" s="34" t="s">
        <v>109</v>
      </c>
      <c r="F14" s="36">
        <v>98.0</v>
      </c>
      <c r="G14" s="36">
        <v>4.0</v>
      </c>
      <c r="H14" s="36">
        <v>0.0</v>
      </c>
      <c r="I14" s="40">
        <v>2.0</v>
      </c>
      <c r="J14" s="32" t="s">
        <v>161</v>
      </c>
      <c r="K14" s="32" t="s">
        <v>162</v>
      </c>
      <c r="L14" s="40" t="s">
        <v>163</v>
      </c>
      <c r="M14" s="40" t="s">
        <v>164</v>
      </c>
      <c r="N14" s="40" t="s">
        <v>165</v>
      </c>
      <c r="O14" s="43" t="s">
        <v>166</v>
      </c>
    </row>
    <row r="15" ht="26.25" customHeight="1">
      <c r="A15" s="4" t="s">
        <v>107</v>
      </c>
      <c r="B15" s="76" t="s">
        <v>12</v>
      </c>
      <c r="C15" s="77" t="s">
        <v>72</v>
      </c>
      <c r="D15" s="13">
        <v>46293.0</v>
      </c>
      <c r="E15" s="6" t="s">
        <v>109</v>
      </c>
      <c r="F15" s="16">
        <v>100.0</v>
      </c>
      <c r="G15" s="16">
        <v>3.0</v>
      </c>
      <c r="H15" s="16">
        <v>0.0</v>
      </c>
      <c r="I15" s="19">
        <v>1.0</v>
      </c>
      <c r="J15" s="8" t="s">
        <v>167</v>
      </c>
      <c r="K15" s="8" t="s">
        <v>168</v>
      </c>
      <c r="L15" s="19" t="s">
        <v>169</v>
      </c>
      <c r="M15" s="19" t="s">
        <v>170</v>
      </c>
      <c r="N15" s="19" t="s">
        <v>171</v>
      </c>
      <c r="O15" s="22" t="s">
        <v>172</v>
      </c>
    </row>
    <row r="16" ht="26.25" customHeight="1">
      <c r="A16" s="27" t="s">
        <v>107</v>
      </c>
      <c r="B16" s="78" t="s">
        <v>16</v>
      </c>
      <c r="C16" s="78" t="s">
        <v>85</v>
      </c>
      <c r="D16" s="13">
        <v>46293.0</v>
      </c>
      <c r="E16" s="34" t="s">
        <v>109</v>
      </c>
      <c r="F16" s="36">
        <v>93.0</v>
      </c>
      <c r="G16" s="36">
        <v>3.0</v>
      </c>
      <c r="H16" s="36">
        <v>0.0</v>
      </c>
      <c r="I16" s="40">
        <v>1.0</v>
      </c>
      <c r="J16" s="32" t="s">
        <v>173</v>
      </c>
      <c r="K16" s="32" t="s">
        <v>174</v>
      </c>
      <c r="L16" s="40" t="s">
        <v>175</v>
      </c>
      <c r="M16" s="40" t="s">
        <v>176</v>
      </c>
      <c r="N16" s="40" t="s">
        <v>177</v>
      </c>
      <c r="O16" s="43" t="s">
        <v>178</v>
      </c>
    </row>
    <row r="17" ht="26.25" customHeight="1">
      <c r="A17" s="4" t="s">
        <v>111</v>
      </c>
      <c r="B17" s="49" t="s">
        <v>6</v>
      </c>
      <c r="C17" s="50" t="s">
        <v>51</v>
      </c>
      <c r="D17" s="13">
        <v>46293.0</v>
      </c>
      <c r="E17" s="6" t="s">
        <v>109</v>
      </c>
      <c r="F17" s="16">
        <v>97.0</v>
      </c>
      <c r="G17" s="16">
        <v>3.0</v>
      </c>
      <c r="H17" s="16">
        <v>1.0</v>
      </c>
      <c r="I17" s="19">
        <v>1.0</v>
      </c>
      <c r="J17" s="8" t="s">
        <v>179</v>
      </c>
      <c r="K17" s="8" t="s">
        <v>180</v>
      </c>
      <c r="L17" s="19" t="s">
        <v>181</v>
      </c>
      <c r="M17" s="19" t="s">
        <v>182</v>
      </c>
      <c r="N17" s="19" t="s">
        <v>183</v>
      </c>
      <c r="O17" s="22" t="s">
        <v>184</v>
      </c>
    </row>
    <row r="18" ht="26.25" customHeight="1">
      <c r="A18" s="27" t="s">
        <v>111</v>
      </c>
      <c r="B18" s="53" t="s">
        <v>12</v>
      </c>
      <c r="C18" s="54" t="s">
        <v>72</v>
      </c>
      <c r="D18" s="13">
        <v>46293.0</v>
      </c>
      <c r="E18" s="34" t="s">
        <v>109</v>
      </c>
      <c r="F18" s="36">
        <v>100.0</v>
      </c>
      <c r="G18" s="36">
        <v>3.0</v>
      </c>
      <c r="H18" s="36">
        <v>0.0</v>
      </c>
      <c r="I18" s="40">
        <v>1.0</v>
      </c>
      <c r="J18" s="32" t="s">
        <v>185</v>
      </c>
      <c r="K18" s="32" t="s">
        <v>186</v>
      </c>
      <c r="L18" s="40" t="s">
        <v>187</v>
      </c>
      <c r="M18" s="40" t="s">
        <v>188</v>
      </c>
      <c r="N18" s="40" t="s">
        <v>189</v>
      </c>
      <c r="O18" s="43" t="s">
        <v>190</v>
      </c>
    </row>
    <row r="19" ht="26.25" customHeight="1">
      <c r="A19" s="4" t="s">
        <v>111</v>
      </c>
      <c r="B19" s="58" t="s">
        <v>16</v>
      </c>
      <c r="C19" s="58" t="s">
        <v>85</v>
      </c>
      <c r="D19" s="13">
        <v>46293.0</v>
      </c>
      <c r="E19" s="6" t="s">
        <v>109</v>
      </c>
      <c r="F19" s="16">
        <v>72.0</v>
      </c>
      <c r="G19" s="16">
        <v>3.0</v>
      </c>
      <c r="H19" s="16">
        <v>2.0</v>
      </c>
      <c r="I19" s="19">
        <v>1.0</v>
      </c>
      <c r="J19" s="8" t="s">
        <v>191</v>
      </c>
      <c r="K19" s="8" t="s">
        <v>192</v>
      </c>
      <c r="L19" s="19" t="s">
        <v>193</v>
      </c>
      <c r="M19" s="19" t="s">
        <v>194</v>
      </c>
      <c r="N19" s="19" t="s">
        <v>195</v>
      </c>
      <c r="O19" s="22" t="s">
        <v>196</v>
      </c>
    </row>
    <row r="20" ht="26.25" customHeight="1">
      <c r="A20" s="79" t="s">
        <v>112</v>
      </c>
      <c r="B20" s="80" t="s">
        <v>6</v>
      </c>
      <c r="C20" s="81" t="s">
        <v>51</v>
      </c>
      <c r="D20" s="13">
        <v>46293.0</v>
      </c>
      <c r="E20" s="82" t="s">
        <v>52</v>
      </c>
      <c r="F20" s="83">
        <v>100.0</v>
      </c>
      <c r="G20" s="83">
        <v>3.0</v>
      </c>
      <c r="H20" s="83">
        <v>0.0</v>
      </c>
      <c r="I20" s="84">
        <v>2.0</v>
      </c>
      <c r="J20" s="85" t="s">
        <v>197</v>
      </c>
      <c r="K20" s="85" t="s">
        <v>198</v>
      </c>
      <c r="L20" s="84" t="s">
        <v>199</v>
      </c>
      <c r="M20" s="84" t="s">
        <v>200</v>
      </c>
      <c r="N20" s="84" t="s">
        <v>201</v>
      </c>
      <c r="O20" s="86" t="s">
        <v>202</v>
      </c>
    </row>
    <row r="21" ht="26.25" customHeight="1">
      <c r="A21" s="87" t="s">
        <v>112</v>
      </c>
      <c r="B21" s="88" t="s">
        <v>12</v>
      </c>
      <c r="C21" s="89" t="s">
        <v>72</v>
      </c>
      <c r="D21" s="13">
        <v>46293.0</v>
      </c>
      <c r="E21" s="90" t="s">
        <v>52</v>
      </c>
      <c r="F21" s="91">
        <v>100.0</v>
      </c>
      <c r="G21" s="91">
        <v>2.0</v>
      </c>
      <c r="H21" s="91">
        <v>0.0</v>
      </c>
      <c r="I21" s="92">
        <v>1.0</v>
      </c>
      <c r="J21" s="93" t="s">
        <v>203</v>
      </c>
      <c r="K21" s="93" t="s">
        <v>204</v>
      </c>
      <c r="L21" s="92" t="s">
        <v>205</v>
      </c>
      <c r="M21" s="92" t="s">
        <v>206</v>
      </c>
      <c r="N21" s="92" t="s">
        <v>207</v>
      </c>
      <c r="O21" s="94" t="s">
        <v>208</v>
      </c>
    </row>
    <row r="22" ht="26.25" customHeight="1">
      <c r="A22" s="79" t="s">
        <v>112</v>
      </c>
      <c r="B22" s="95" t="s">
        <v>16</v>
      </c>
      <c r="C22" s="95" t="s">
        <v>85</v>
      </c>
      <c r="D22" s="13">
        <v>46293.0</v>
      </c>
      <c r="E22" s="82" t="s">
        <v>52</v>
      </c>
      <c r="F22" s="83">
        <v>93.0</v>
      </c>
      <c r="G22" s="83">
        <v>2.0</v>
      </c>
      <c r="H22" s="83">
        <v>0.0</v>
      </c>
      <c r="I22" s="84">
        <v>1.0</v>
      </c>
      <c r="J22" s="85" t="s">
        <v>203</v>
      </c>
      <c r="K22" s="85" t="s">
        <v>209</v>
      </c>
      <c r="L22" s="84" t="s">
        <v>210</v>
      </c>
      <c r="M22" s="84" t="s">
        <v>211</v>
      </c>
      <c r="N22" s="84" t="s">
        <v>212</v>
      </c>
      <c r="O22" s="86" t="s">
        <v>213</v>
      </c>
    </row>
    <row r="23" ht="26.25" customHeight="1">
      <c r="A23" s="87" t="s">
        <v>113</v>
      </c>
      <c r="B23" s="96" t="s">
        <v>6</v>
      </c>
      <c r="C23" s="97" t="s">
        <v>51</v>
      </c>
      <c r="D23" s="13">
        <v>46293.0</v>
      </c>
      <c r="E23" s="90" t="s">
        <v>109</v>
      </c>
      <c r="F23" s="91">
        <v>98.0</v>
      </c>
      <c r="G23" s="91">
        <v>3.0</v>
      </c>
      <c r="H23" s="91">
        <v>0.0</v>
      </c>
      <c r="I23" s="92">
        <v>2.0</v>
      </c>
      <c r="J23" s="93" t="s">
        <v>214</v>
      </c>
      <c r="K23" s="93" t="s">
        <v>215</v>
      </c>
      <c r="L23" s="92" t="s">
        <v>216</v>
      </c>
      <c r="M23" s="92" t="s">
        <v>217</v>
      </c>
      <c r="N23" s="92" t="s">
        <v>218</v>
      </c>
      <c r="O23" s="94" t="s">
        <v>219</v>
      </c>
    </row>
    <row r="24" ht="26.25" customHeight="1">
      <c r="A24" s="79" t="s">
        <v>113</v>
      </c>
      <c r="B24" s="98" t="s">
        <v>12</v>
      </c>
      <c r="C24" s="99" t="s">
        <v>72</v>
      </c>
      <c r="D24" s="13">
        <v>46293.0</v>
      </c>
      <c r="E24" s="82" t="s">
        <v>109</v>
      </c>
      <c r="F24" s="83">
        <v>100.0</v>
      </c>
      <c r="G24" s="83">
        <v>3.0</v>
      </c>
      <c r="H24" s="83">
        <v>0.0</v>
      </c>
      <c r="I24" s="84">
        <v>1.0</v>
      </c>
      <c r="J24" s="85" t="s">
        <v>203</v>
      </c>
      <c r="K24" s="85" t="s">
        <v>220</v>
      </c>
      <c r="L24" s="84" t="s">
        <v>221</v>
      </c>
      <c r="M24" s="84" t="s">
        <v>222</v>
      </c>
      <c r="N24" s="84" t="s">
        <v>223</v>
      </c>
      <c r="O24" s="86" t="s">
        <v>224</v>
      </c>
    </row>
    <row r="25" ht="26.25" customHeight="1">
      <c r="A25" s="87" t="s">
        <v>113</v>
      </c>
      <c r="B25" s="100" t="s">
        <v>16</v>
      </c>
      <c r="C25" s="100" t="s">
        <v>85</v>
      </c>
      <c r="D25" s="13">
        <v>46293.0</v>
      </c>
      <c r="E25" s="90" t="s">
        <v>109</v>
      </c>
      <c r="F25" s="91">
        <v>88.0</v>
      </c>
      <c r="G25" s="91">
        <v>3.0</v>
      </c>
      <c r="H25" s="91">
        <v>1.0</v>
      </c>
      <c r="I25" s="92">
        <v>2.0</v>
      </c>
      <c r="J25" s="93" t="s">
        <v>225</v>
      </c>
      <c r="K25" s="93" t="s">
        <v>226</v>
      </c>
      <c r="L25" s="92" t="s">
        <v>227</v>
      </c>
      <c r="M25" s="92" t="s">
        <v>228</v>
      </c>
      <c r="N25" s="92" t="s">
        <v>229</v>
      </c>
      <c r="O25" s="94" t="s">
        <v>230</v>
      </c>
    </row>
  </sheetData>
  <dataValidations>
    <dataValidation type="list" allowBlank="1" sqref="E2:E25">
      <formula1>"A,B,C,D,E"</formula1>
    </dataValidation>
    <dataValidation type="list" allowBlank="1" sqref="B2:B25">
      <formula1>"ChatGPT,Gemini,Claude"</formula1>
    </dataValidation>
    <dataValidation type="custom" allowBlank="1" showDropDown="1" sqref="D2:D25">
      <formula1>OR(NOT(ISERROR(DATEVALUE(D2))), AND(ISNUMBER(D2), LEFT(CELL("format", D2))="D"))</formula1>
    </dataValidation>
    <dataValidation allowBlank="1" showDropDown="1" sqref="A2:A25"/>
    <dataValidation type="list" allowBlank="1" sqref="C2:C25">
      <formula1>"Gemini 3.6 Flash,Sonnet 5,GPT-5.6 Luna"</formula1>
    </dataValidation>
    <dataValidation type="custom" allowBlank="1" showDropDown="1" sqref="F2:H25">
      <formula1>AND(ISNUMBER(F2),(NOT(OR(NOT(ISERROR(DATEVALUE(F2))), AND(ISNUMBER(F2), LEFT(CELL("format", F2))="D")))))</formula1>
    </dataValidation>
    <dataValidation allowBlank="1" showDropDown="1" sqref="J2:K25"/>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 t="s">
        <v>1</v>
      </c>
      <c r="B1" s="2" t="s">
        <v>6</v>
      </c>
      <c r="C1" s="2" t="s">
        <v>12</v>
      </c>
      <c r="D1" s="2" t="s">
        <v>16</v>
      </c>
      <c r="E1" s="2" t="s">
        <v>19</v>
      </c>
      <c r="F1" s="3" t="s">
        <v>24</v>
      </c>
      <c r="G1" s="3" t="s">
        <v>27</v>
      </c>
      <c r="H1" s="3" t="s">
        <v>31</v>
      </c>
      <c r="I1" s="3" t="s">
        <v>33</v>
      </c>
      <c r="J1" s="3" t="s">
        <v>35</v>
      </c>
      <c r="K1" s="3" t="s">
        <v>36</v>
      </c>
      <c r="L1" s="3" t="s">
        <v>39</v>
      </c>
      <c r="M1" s="3" t="s">
        <v>41</v>
      </c>
      <c r="N1" s="3" t="s">
        <v>44</v>
      </c>
      <c r="O1" s="3" t="s">
        <v>45</v>
      </c>
    </row>
    <row r="2" ht="22.5" customHeight="1">
      <c r="A2" s="4" t="s">
        <v>42</v>
      </c>
      <c r="B2" s="18" t="str">
        <f>IFERROR(__xludf.DUMMYFUNCTION("IFERROR(INDEX(FILTER('Respostas LLM'!$E:$E,'Respostas LLM'!$A:$A=$A2,'Respostas LLM'!$B:$B=""ChatGPT""),1),"""")"),"E")</f>
        <v>E</v>
      </c>
      <c r="C2" s="18" t="str">
        <f>IFERROR(__xludf.DUMMYFUNCTION("IFERROR(INDEX(FILTER('Respostas LLM'!$E:$E,'Respostas LLM'!$A:$A=$A2,'Respostas LLM'!$B:$B=""Gemini""),1),"""")"),"E")</f>
        <v>E</v>
      </c>
      <c r="D2" s="18" t="str">
        <f>IFERROR(__xludf.DUMMYFUNCTION("IFERROR(INDEX(FILTER('Respostas LLM'!$E:$E,'Respostas LLM'!$A:$A=$A2,'Respostas LLM'!$B:$B=""Claude""),1),"""")"),"E")</f>
        <v>E</v>
      </c>
      <c r="E2" s="18" t="str">
        <f t="shared" ref="E2:E9" si="1">IF(OR(B2="",C2="",D2=""),"",IF(AND(B2=C2,C2=D2),"3/3",IF(OR(B2=C2,B2=D2,C2=D2),"2/3","0/3")))</f>
        <v>3/3</v>
      </c>
      <c r="F2" s="18" t="str">
        <f t="shared" ref="F2:F9" si="2">IF(OR(B2="",C2="",D2=""),"",IF(B2=C2,B2,IF(B2=D2,B2,IF(C2=D2,C2,"Sem maioria"))))</f>
        <v>E</v>
      </c>
      <c r="G2" s="18" t="str">
        <f>IFERROR(__xludf.DUMMYFUNCTION("IFERROR(INDEX(FILTER(Gabarito_INEP!$B:$B,Gabarito_INEP!$A:$A=$A2),1),"""")"),"E")</f>
        <v>E</v>
      </c>
      <c r="H2" s="18" t="str">
        <f t="shared" ref="H2:H9" si="3">IF(G2="","",COUNTIF(B2:D2,G2)&amp;"/3")</f>
        <v>3/3</v>
      </c>
      <c r="I2" s="41">
        <f>IFERROR(__xludf.DUMMYFUNCTION("IFERROR(AVERAGE(FILTER('Respostas LLM'!$F:$F,'Respostas LLM'!$A:$A=$A2)),"""")"),95.66666666666667)</f>
        <v>95.66666667</v>
      </c>
      <c r="J2" s="41">
        <f>IFERROR(__xludf.DUMMYFUNCTION("IFERROR(AVERAGE(FILTER('Respostas LLM'!$G:$G,'Respostas LLM'!$A:$A=$A2,'Respostas LLM'!$G:$G&lt;&gt;"""")),"""")"),3.0)</f>
        <v>3</v>
      </c>
      <c r="K2" s="41">
        <f>IFERROR(__xludf.DUMMYFUNCTION("IFERROR(AVERAGE(FILTER('Respostas LLM'!$H:$H,'Respostas LLM'!$A:$A=$A2)),"""")"),0.0)</f>
        <v>0</v>
      </c>
      <c r="L2" s="44">
        <f>IFERROR(__xludf.DUMMYFUNCTION("IFERROR(MAX(FILTER('Respostas LLM'!$H:$H,'Respostas LLM'!$A:$A=$A2)),"""")"),0.0)</f>
        <v>0</v>
      </c>
      <c r="M2" s="41">
        <f>IFERROR(__xludf.DUMMYFUNCTION("IFERROR(AVERAGE(FILTER('Respostas LLM'!$I:$I,'Respostas LLM'!$A:$A=$A2)),"""")"),1.3333333333333333)</f>
        <v>1.333333333</v>
      </c>
      <c r="N2" s="18" t="str">
        <f t="shared" ref="N2:N9" si="4">IF(OR(F2="",G2=""),"",IF(F2="Sem maioria","Sem maioria",IF(F2=G2,"Sim","Não")))</f>
        <v>Sim</v>
      </c>
      <c r="O2" s="47" t="str">
        <f t="shared" ref="O2:O9" si="5">IF(G2="","",IF(G2="ANULADA","Questão anulada",IF(E2="3/3",IF(H2="3/3","Consenso unânime correto","Consenso unânime incorreto"),IF(E2="2/3",IF(H2="2/3","Maioria correta — 1 LLM divergiu",IF(H2="1/3","Maioria incorreta — 1 LLM acertou","Maioria incorreta — nenhuma LLM acertou")),IF(E2="0/3",IF(H2="1/3","Sem consenso — 1 LLM acertou","Sem consenso — nenhuma LLM acertou"),"")))))</f>
        <v>Consenso unânime correto</v>
      </c>
    </row>
    <row r="3" ht="22.5" customHeight="1">
      <c r="A3" s="4" t="s">
        <v>96</v>
      </c>
      <c r="B3" s="51" t="str">
        <f>IFERROR(__xludf.DUMMYFUNCTION("IFERROR(INDEX(FILTER('Respostas LLM'!$E:$E,'Respostas LLM'!$A:$A=$A3,'Respostas LLM'!$B:$B=""ChatGPT""),1),"""")"),"C")</f>
        <v>C</v>
      </c>
      <c r="C3" s="51" t="str">
        <f>IFERROR(__xludf.DUMMYFUNCTION("IFERROR(INDEX(FILTER('Respostas LLM'!$E:$E,'Respostas LLM'!$A:$A=$A3,'Respostas LLM'!$B:$B=""Gemini""),1),"""")"),"A")</f>
        <v>A</v>
      </c>
      <c r="D3" s="51" t="str">
        <f>IFERROR(__xludf.DUMMYFUNCTION("IFERROR(INDEX(FILTER('Respostas LLM'!$E:$E,'Respostas LLM'!$A:$A=$A3,'Respostas LLM'!$B:$B=""Claude""),1),"""")"),"A")</f>
        <v>A</v>
      </c>
      <c r="E3" s="51" t="str">
        <f t="shared" si="1"/>
        <v>2/3</v>
      </c>
      <c r="F3" s="51" t="str">
        <f t="shared" si="2"/>
        <v>A</v>
      </c>
      <c r="G3" s="51" t="str">
        <f>IFERROR(__xludf.DUMMYFUNCTION("IFERROR(INDEX(FILTER(Gabarito_INEP!$B:$B,Gabarito_INEP!$A:$A=$A3),1),"""")"),"A")</f>
        <v>A</v>
      </c>
      <c r="H3" s="51" t="str">
        <f t="shared" si="3"/>
        <v>2/3</v>
      </c>
      <c r="I3" s="52">
        <f>IFERROR(__xludf.DUMMYFUNCTION("IFERROR(AVERAGE(FILTER('Respostas LLM'!$F:$F,'Respostas LLM'!$A:$A=$A3)),"""")"),76.0)</f>
        <v>76</v>
      </c>
      <c r="J3" s="52">
        <f>IFERROR(__xludf.DUMMYFUNCTION("IFERROR(AVERAGE(FILTER('Respostas LLM'!$G:$G,'Respostas LLM'!$A:$A=$A3,'Respostas LLM'!$G:$G&lt;&gt;"""")),"""")"),2.6666666666666665)</f>
        <v>2.666666667</v>
      </c>
      <c r="K3" s="52">
        <f>IFERROR(__xludf.DUMMYFUNCTION("IFERROR(AVERAGE(FILTER('Respostas LLM'!$H:$H,'Respostas LLM'!$A:$A=$A3)),"""")"),0.6666666666666666)</f>
        <v>0.6666666667</v>
      </c>
      <c r="L3" s="55">
        <f>IFERROR(__xludf.DUMMYFUNCTION("IFERROR(MAX(FILTER('Respostas LLM'!$H:$H,'Respostas LLM'!$A:$A=$A3)),"""")"),2.0)</f>
        <v>2</v>
      </c>
      <c r="M3" s="52">
        <f>IFERROR(__xludf.DUMMYFUNCTION("IFERROR(AVERAGE(FILTER('Respostas LLM'!$I:$I,'Respostas LLM'!$A:$A=$A3)),"""")"),1.3333333333333333)</f>
        <v>1.333333333</v>
      </c>
      <c r="N3" s="51" t="str">
        <f t="shared" si="4"/>
        <v>Sim</v>
      </c>
      <c r="O3" s="57" t="str">
        <f t="shared" si="5"/>
        <v>Maioria correta — 1 LLM divergiu</v>
      </c>
    </row>
    <row r="4" ht="22.5" customHeight="1">
      <c r="A4" s="4" t="s">
        <v>100</v>
      </c>
      <c r="B4" s="18" t="str">
        <f>IFERROR(__xludf.DUMMYFUNCTION("IFERROR(INDEX(FILTER('Respostas LLM'!$E:$E,'Respostas LLM'!$A:$A=$A4,'Respostas LLM'!$B:$B=""ChatGPT""),1),"""")"),"D")</f>
        <v>D</v>
      </c>
      <c r="C4" s="18" t="str">
        <f>IFERROR(__xludf.DUMMYFUNCTION("IFERROR(INDEX(FILTER('Respostas LLM'!$E:$E,'Respostas LLM'!$A:$A=$A4,'Respostas LLM'!$B:$B=""Gemini""),1),"""")"),"D")</f>
        <v>D</v>
      </c>
      <c r="D4" s="18" t="str">
        <f>IFERROR(__xludf.DUMMYFUNCTION("IFERROR(INDEX(FILTER('Respostas LLM'!$E:$E,'Respostas LLM'!$A:$A=$A4,'Respostas LLM'!$B:$B=""Claude""),1),"""")"),"D")</f>
        <v>D</v>
      </c>
      <c r="E4" s="18" t="str">
        <f t="shared" si="1"/>
        <v>3/3</v>
      </c>
      <c r="F4" s="18" t="str">
        <f t="shared" si="2"/>
        <v>D</v>
      </c>
      <c r="G4" s="18" t="str">
        <f>IFERROR(__xludf.DUMMYFUNCTION("IFERROR(INDEX(FILTER(Gabarito_INEP!$B:$B,Gabarito_INEP!$A:$A=$A4),1),"""")"),"D")</f>
        <v>D</v>
      </c>
      <c r="H4" s="18" t="str">
        <f t="shared" si="3"/>
        <v>3/3</v>
      </c>
      <c r="I4" s="41">
        <f>IFERROR(__xludf.DUMMYFUNCTION("IFERROR(AVERAGE(FILTER('Respostas LLM'!$F:$F,'Respostas LLM'!$A:$A=$A4)),"""")"),81.33333333333333)</f>
        <v>81.33333333</v>
      </c>
      <c r="J4" s="41">
        <f>IFERROR(__xludf.DUMMYFUNCTION("IFERROR(AVERAGE(FILTER('Respostas LLM'!$G:$G,'Respostas LLM'!$A:$A=$A4,'Respostas LLM'!$G:$G&lt;&gt;"""")),"""")"),3.0)</f>
        <v>3</v>
      </c>
      <c r="K4" s="41">
        <f>IFERROR(__xludf.DUMMYFUNCTION("IFERROR(AVERAGE(FILTER('Respostas LLM'!$H:$H,'Respostas LLM'!$A:$A=$A4)),"""")"),0.3333333333333333)</f>
        <v>0.3333333333</v>
      </c>
      <c r="L4" s="44">
        <f>IFERROR(__xludf.DUMMYFUNCTION("IFERROR(MAX(FILTER('Respostas LLM'!$H:$H,'Respostas LLM'!$A:$A=$A4)),"""")"),1.0)</f>
        <v>1</v>
      </c>
      <c r="M4" s="41">
        <f>IFERROR(__xludf.DUMMYFUNCTION("IFERROR(AVERAGE(FILTER('Respostas LLM'!$I:$I,'Respostas LLM'!$A:$A=$A4)),"""")"),1.6666666666666667)</f>
        <v>1.666666667</v>
      </c>
      <c r="N4" s="18" t="str">
        <f t="shared" si="4"/>
        <v>Sim</v>
      </c>
      <c r="O4" s="47" t="str">
        <f t="shared" si="5"/>
        <v>Consenso unânime correto</v>
      </c>
    </row>
    <row r="5" ht="22.5" customHeight="1">
      <c r="A5" s="27" t="s">
        <v>102</v>
      </c>
      <c r="B5" s="51" t="str">
        <f>IFERROR(__xludf.DUMMYFUNCTION("IFERROR(INDEX(FILTER('Respostas LLM'!$E:$E,'Respostas LLM'!$A:$A=$A5,'Respostas LLM'!$B:$B=""ChatGPT""),1),"""")"),"A")</f>
        <v>A</v>
      </c>
      <c r="C5" s="51" t="str">
        <f>IFERROR(__xludf.DUMMYFUNCTION("IFERROR(INDEX(FILTER('Respostas LLM'!$E:$E,'Respostas LLM'!$A:$A=$A5,'Respostas LLM'!$B:$B=""Gemini""),1),"""")"),"A")</f>
        <v>A</v>
      </c>
      <c r="D5" s="51" t="str">
        <f>IFERROR(__xludf.DUMMYFUNCTION("IFERROR(INDEX(FILTER('Respostas LLM'!$E:$E,'Respostas LLM'!$A:$A=$A5,'Respostas LLM'!$B:$B=""Claude""),1),"""")"),"A")</f>
        <v>A</v>
      </c>
      <c r="E5" s="51" t="str">
        <f t="shared" si="1"/>
        <v>3/3</v>
      </c>
      <c r="F5" s="51" t="str">
        <f t="shared" si="2"/>
        <v>A</v>
      </c>
      <c r="G5" s="51" t="str">
        <f>IFERROR(__xludf.DUMMYFUNCTION("IFERROR(INDEX(FILTER(Gabarito_INEP!$B:$B,Gabarito_INEP!$A:$A=$A5),1),"""")"),"A")</f>
        <v>A</v>
      </c>
      <c r="H5" s="51" t="str">
        <f t="shared" si="3"/>
        <v>3/3</v>
      </c>
      <c r="I5" s="52">
        <f>IFERROR(__xludf.DUMMYFUNCTION("IFERROR(AVERAGE(FILTER('Respostas LLM'!$F:$F,'Respostas LLM'!$A:$A=$A5)),"""")"),99.0)</f>
        <v>99</v>
      </c>
      <c r="J5" s="52">
        <f>IFERROR(__xludf.DUMMYFUNCTION("IFERROR(AVERAGE(FILTER('Respostas LLM'!$G:$G,'Respostas LLM'!$A:$A=$A5,'Respostas LLM'!$G:$G&lt;&gt;"""")),"""")"),2.0)</f>
        <v>2</v>
      </c>
      <c r="K5" s="52">
        <f>IFERROR(__xludf.DUMMYFUNCTION("IFERROR(AVERAGE(FILTER('Respostas LLM'!$H:$H,'Respostas LLM'!$A:$A=$A5)),"""")"),0.0)</f>
        <v>0</v>
      </c>
      <c r="L5" s="55">
        <f>IFERROR(__xludf.DUMMYFUNCTION("IFERROR(MAX(FILTER('Respostas LLM'!$H:$H,'Respostas LLM'!$A:$A=$A5)),"""")"),0.0)</f>
        <v>0</v>
      </c>
      <c r="M5" s="52">
        <f>IFERROR(__xludf.DUMMYFUNCTION("IFERROR(AVERAGE(FILTER('Respostas LLM'!$I:$I,'Respostas LLM'!$A:$A=$A5)),"""")"),1.0)</f>
        <v>1</v>
      </c>
      <c r="N5" s="51" t="str">
        <f t="shared" si="4"/>
        <v>Sim</v>
      </c>
      <c r="O5" s="57" t="str">
        <f t="shared" si="5"/>
        <v>Consenso unânime correto</v>
      </c>
    </row>
    <row r="6" ht="22.5" customHeight="1">
      <c r="A6" s="27" t="s">
        <v>107</v>
      </c>
      <c r="B6" s="18" t="str">
        <f>IFERROR(__xludf.DUMMYFUNCTION("IFERROR(INDEX(FILTER('Respostas LLM'!$E:$E,'Respostas LLM'!$A:$A=$A6,'Respostas LLM'!$B:$B=""ChatGPT""),1),"""")"),"B")</f>
        <v>B</v>
      </c>
      <c r="C6" s="18" t="str">
        <f>IFERROR(__xludf.DUMMYFUNCTION("IFERROR(INDEX(FILTER('Respostas LLM'!$E:$E,'Respostas LLM'!$A:$A=$A6,'Respostas LLM'!$B:$B=""Gemini""),1),"""")"),"B")</f>
        <v>B</v>
      </c>
      <c r="D6" s="18" t="str">
        <f>IFERROR(__xludf.DUMMYFUNCTION("IFERROR(INDEX(FILTER('Respostas LLM'!$E:$E,'Respostas LLM'!$A:$A=$A6,'Respostas LLM'!$B:$B=""Claude""),1),"""")"),"B")</f>
        <v>B</v>
      </c>
      <c r="E6" s="18" t="str">
        <f t="shared" si="1"/>
        <v>3/3</v>
      </c>
      <c r="F6" s="18" t="str">
        <f t="shared" si="2"/>
        <v>B</v>
      </c>
      <c r="G6" s="18" t="str">
        <f>IFERROR(__xludf.DUMMYFUNCTION("IFERROR(INDEX(FILTER(Gabarito_INEP!$B:$B,Gabarito_INEP!$A:$A=$A6),1),"""")"),"B")</f>
        <v>B</v>
      </c>
      <c r="H6" s="18" t="str">
        <f t="shared" si="3"/>
        <v>3/3</v>
      </c>
      <c r="I6" s="41">
        <f>IFERROR(__xludf.DUMMYFUNCTION("IFERROR(AVERAGE(FILTER('Respostas LLM'!$F:$F,'Respostas LLM'!$A:$A=$A6)),"""")"),97.0)</f>
        <v>97</v>
      </c>
      <c r="J6" s="41">
        <f>IFERROR(__xludf.DUMMYFUNCTION("IFERROR(AVERAGE(FILTER('Respostas LLM'!$G:$G,'Respostas LLM'!$A:$A=$A6,'Respostas LLM'!$G:$G&lt;&gt;"""")),"""")"),3.3333333333333335)</f>
        <v>3.333333333</v>
      </c>
      <c r="K6" s="41">
        <f>IFERROR(__xludf.DUMMYFUNCTION("IFERROR(AVERAGE(FILTER('Respostas LLM'!$H:$H,'Respostas LLM'!$A:$A=$A6)),"""")"),0.0)</f>
        <v>0</v>
      </c>
      <c r="L6" s="44">
        <f>IFERROR(__xludf.DUMMYFUNCTION("IFERROR(MAX(FILTER('Respostas LLM'!$H:$H,'Respostas LLM'!$A:$A=$A6)),"""")"),0.0)</f>
        <v>0</v>
      </c>
      <c r="M6" s="41">
        <f>IFERROR(__xludf.DUMMYFUNCTION("IFERROR(AVERAGE(FILTER('Respostas LLM'!$I:$I,'Respostas LLM'!$A:$A=$A6)),"""")"),1.3333333333333333)</f>
        <v>1.333333333</v>
      </c>
      <c r="N6" s="18" t="str">
        <f t="shared" si="4"/>
        <v>Sim</v>
      </c>
      <c r="O6" s="47" t="str">
        <f t="shared" si="5"/>
        <v>Consenso unânime correto</v>
      </c>
    </row>
    <row r="7" ht="22.5" customHeight="1">
      <c r="A7" s="27" t="s">
        <v>111</v>
      </c>
      <c r="B7" s="51" t="str">
        <f>IFERROR(__xludf.DUMMYFUNCTION("IFERROR(INDEX(FILTER('Respostas LLM'!$E:$E,'Respostas LLM'!$A:$A=$A7,'Respostas LLM'!$B:$B=""ChatGPT""),1),"""")"),"B")</f>
        <v>B</v>
      </c>
      <c r="C7" s="51" t="str">
        <f>IFERROR(__xludf.DUMMYFUNCTION("IFERROR(INDEX(FILTER('Respostas LLM'!$E:$E,'Respostas LLM'!$A:$A=$A7,'Respostas LLM'!$B:$B=""Gemini""),1),"""")"),"B")</f>
        <v>B</v>
      </c>
      <c r="D7" s="51" t="str">
        <f>IFERROR(__xludf.DUMMYFUNCTION("IFERROR(INDEX(FILTER('Respostas LLM'!$E:$E,'Respostas LLM'!$A:$A=$A7,'Respostas LLM'!$B:$B=""Claude""),1),"""")"),"B")</f>
        <v>B</v>
      </c>
      <c r="E7" s="51" t="str">
        <f t="shared" si="1"/>
        <v>3/3</v>
      </c>
      <c r="F7" s="51" t="str">
        <f t="shared" si="2"/>
        <v>B</v>
      </c>
      <c r="G7" s="51" t="str">
        <f>IFERROR(__xludf.DUMMYFUNCTION("IFERROR(INDEX(FILTER(Gabarito_INEP!$B:$B,Gabarito_INEP!$A:$A=$A7),1),"""")"),"B")</f>
        <v>B</v>
      </c>
      <c r="H7" s="51" t="str">
        <f t="shared" si="3"/>
        <v>3/3</v>
      </c>
      <c r="I7" s="52">
        <f>IFERROR(__xludf.DUMMYFUNCTION("IFERROR(AVERAGE(FILTER('Respostas LLM'!$F:$F,'Respostas LLM'!$A:$A=$A7)),"""")"),89.66666666666667)</f>
        <v>89.66666667</v>
      </c>
      <c r="J7" s="52">
        <f>IFERROR(__xludf.DUMMYFUNCTION("IFERROR(AVERAGE(FILTER('Respostas LLM'!$G:$G,'Respostas LLM'!$A:$A=$A7,'Respostas LLM'!$G:$G&lt;&gt;"""")),"""")"),3.0)</f>
        <v>3</v>
      </c>
      <c r="K7" s="52">
        <f>IFERROR(__xludf.DUMMYFUNCTION("IFERROR(AVERAGE(FILTER('Respostas LLM'!$H:$H,'Respostas LLM'!$A:$A=$A7)),"""")"),1.0)</f>
        <v>1</v>
      </c>
      <c r="L7" s="55">
        <f>IFERROR(__xludf.DUMMYFUNCTION("IFERROR(MAX(FILTER('Respostas LLM'!$H:$H,'Respostas LLM'!$A:$A=$A7)),"""")"),2.0)</f>
        <v>2</v>
      </c>
      <c r="M7" s="52">
        <f>IFERROR(__xludf.DUMMYFUNCTION("IFERROR(AVERAGE(FILTER('Respostas LLM'!$I:$I,'Respostas LLM'!$A:$A=$A7)),"""")"),1.0)</f>
        <v>1</v>
      </c>
      <c r="N7" s="51" t="str">
        <f t="shared" si="4"/>
        <v>Sim</v>
      </c>
      <c r="O7" s="57" t="str">
        <f t="shared" si="5"/>
        <v>Consenso unânime correto</v>
      </c>
    </row>
    <row r="8" ht="22.5" customHeight="1">
      <c r="A8" s="46" t="s">
        <v>112</v>
      </c>
      <c r="B8" s="18" t="str">
        <f>IFERROR(__xludf.DUMMYFUNCTION("IFERROR(INDEX(FILTER('Respostas LLM'!$E:$E,'Respostas LLM'!$A:$A=$A8,'Respostas LLM'!$B:$B=""ChatGPT""),1),"""")"),"E")</f>
        <v>E</v>
      </c>
      <c r="C8" s="18" t="str">
        <f>IFERROR(__xludf.DUMMYFUNCTION("IFERROR(INDEX(FILTER('Respostas LLM'!$E:$E,'Respostas LLM'!$A:$A=$A8,'Respostas LLM'!$B:$B=""Gemini""),1),"""")"),"E")</f>
        <v>E</v>
      </c>
      <c r="D8" s="18" t="str">
        <f>IFERROR(__xludf.DUMMYFUNCTION("IFERROR(INDEX(FILTER('Respostas LLM'!$E:$E,'Respostas LLM'!$A:$A=$A8,'Respostas LLM'!$B:$B=""Claude""),1),"""")"),"E")</f>
        <v>E</v>
      </c>
      <c r="E8" s="18" t="str">
        <f t="shared" si="1"/>
        <v>3/3</v>
      </c>
      <c r="F8" s="18" t="str">
        <f t="shared" si="2"/>
        <v>E</v>
      </c>
      <c r="G8" s="18" t="str">
        <f>IFERROR(__xludf.DUMMYFUNCTION("IFERROR(INDEX(FILTER(Gabarito_INEP!$B:$B,Gabarito_INEP!$A:$A=$A8),1),"""")"),"E")</f>
        <v>E</v>
      </c>
      <c r="H8" s="18" t="str">
        <f t="shared" si="3"/>
        <v>3/3</v>
      </c>
      <c r="I8" s="41">
        <f>IFERROR(__xludf.DUMMYFUNCTION("IFERROR(AVERAGE(FILTER('Respostas LLM'!$F:$F,'Respostas LLM'!$A:$A=$A8)),"""")"),97.66666666666667)</f>
        <v>97.66666667</v>
      </c>
      <c r="J8" s="41">
        <f>IFERROR(__xludf.DUMMYFUNCTION("IFERROR(AVERAGE(FILTER('Respostas LLM'!$G:$G,'Respostas LLM'!$A:$A=$A8,'Respostas LLM'!$G:$G&lt;&gt;"""")),"""")"),2.3333333333333335)</f>
        <v>2.333333333</v>
      </c>
      <c r="K8" s="41">
        <f>IFERROR(__xludf.DUMMYFUNCTION("IFERROR(AVERAGE(FILTER('Respostas LLM'!$H:$H,'Respostas LLM'!$A:$A=$A8)),"""")"),0.0)</f>
        <v>0</v>
      </c>
      <c r="L8" s="44">
        <f>IFERROR(__xludf.DUMMYFUNCTION("IFERROR(MAX(FILTER('Respostas LLM'!$H:$H,'Respostas LLM'!$A:$A=$A8)),"""")"),0.0)</f>
        <v>0</v>
      </c>
      <c r="M8" s="41">
        <f>IFERROR(__xludf.DUMMYFUNCTION("IFERROR(AVERAGE(FILTER('Respostas LLM'!$I:$I,'Respostas LLM'!$A:$A=$A8)),"""")"),1.3333333333333333)</f>
        <v>1.333333333</v>
      </c>
      <c r="N8" s="18" t="str">
        <f t="shared" si="4"/>
        <v>Sim</v>
      </c>
      <c r="O8" s="47" t="str">
        <f t="shared" si="5"/>
        <v>Consenso unânime correto</v>
      </c>
    </row>
    <row r="9" ht="22.5" customHeight="1">
      <c r="A9" s="48" t="s">
        <v>113</v>
      </c>
      <c r="B9" s="51" t="str">
        <f>IFERROR(__xludf.DUMMYFUNCTION("IFERROR(INDEX(FILTER('Respostas LLM'!$E:$E,'Respostas LLM'!$A:$A=$A9,'Respostas LLM'!$B:$B=""ChatGPT""),1),"""")"),"B")</f>
        <v>B</v>
      </c>
      <c r="C9" s="51" t="str">
        <f>IFERROR(__xludf.DUMMYFUNCTION("IFERROR(INDEX(FILTER('Respostas LLM'!$E:$E,'Respostas LLM'!$A:$A=$A9,'Respostas LLM'!$B:$B=""Gemini""),1),"""")"),"B")</f>
        <v>B</v>
      </c>
      <c r="D9" s="51" t="str">
        <f>IFERROR(__xludf.DUMMYFUNCTION("IFERROR(INDEX(FILTER('Respostas LLM'!$E:$E,'Respostas LLM'!$A:$A=$A9,'Respostas LLM'!$B:$B=""Claude""),1),"""")"),"B")</f>
        <v>B</v>
      </c>
      <c r="E9" s="51" t="str">
        <f t="shared" si="1"/>
        <v>3/3</v>
      </c>
      <c r="F9" s="51" t="str">
        <f t="shared" si="2"/>
        <v>B</v>
      </c>
      <c r="G9" s="51" t="str">
        <f>IFERROR(__xludf.DUMMYFUNCTION("IFERROR(INDEX(FILTER(Gabarito_INEP!$B:$B,Gabarito_INEP!$A:$A=$A9),1),"""")"),"B")</f>
        <v>B</v>
      </c>
      <c r="H9" s="51" t="str">
        <f t="shared" si="3"/>
        <v>3/3</v>
      </c>
      <c r="I9" s="52">
        <f>IFERROR(__xludf.DUMMYFUNCTION("IFERROR(AVERAGE(FILTER('Respostas LLM'!$F:$F,'Respostas LLM'!$A:$A=$A9)),"""")"),95.33333333333333)</f>
        <v>95.33333333</v>
      </c>
      <c r="J9" s="52">
        <f>IFERROR(__xludf.DUMMYFUNCTION("IFERROR(AVERAGE(FILTER('Respostas LLM'!$G:$G,'Respostas LLM'!$A:$A=$A9,'Respostas LLM'!$G:$G&lt;&gt;"""")),"""")"),3.0)</f>
        <v>3</v>
      </c>
      <c r="K9" s="52">
        <f>IFERROR(__xludf.DUMMYFUNCTION("IFERROR(AVERAGE(FILTER('Respostas LLM'!$H:$H,'Respostas LLM'!$A:$A=$A9)),"""")"),0.3333333333333333)</f>
        <v>0.3333333333</v>
      </c>
      <c r="L9" s="55">
        <f>IFERROR(__xludf.DUMMYFUNCTION("IFERROR(MAX(FILTER('Respostas LLM'!$H:$H,'Respostas LLM'!$A:$A=$A9)),"""")"),1.0)</f>
        <v>1</v>
      </c>
      <c r="M9" s="52">
        <f>IFERROR(__xludf.DUMMYFUNCTION("IFERROR(AVERAGE(FILTER('Respostas LLM'!$I:$I,'Respostas LLM'!$A:$A=$A9)),"""")"),1.6666666666666667)</f>
        <v>1.666666667</v>
      </c>
      <c r="N9" s="51" t="str">
        <f t="shared" si="4"/>
        <v>Sim</v>
      </c>
      <c r="O9" s="57" t="str">
        <f t="shared" si="5"/>
        <v>Consenso unânime correto</v>
      </c>
    </row>
  </sheetData>
  <dataValidations>
    <dataValidation allowBlank="1" showDropDown="1" sqref="A2:A9"/>
    <dataValidation type="custom" allowBlank="1" showDropDown="1" sqref="I2:I9 K2:K9">
      <formula1>AND(ISNUMBER(I2),(NOT(OR(NOT(ISERROR(DATEVALUE(I2))), AND(ISNUMBER(I2), LEFT(CELL("format", I2))="D")))))</formula1>
    </dataValidation>
    <dataValidation allowBlank="1" showDropDown="1" sqref="B2:F9 N2:N9"/>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 t="s">
        <v>2</v>
      </c>
      <c r="B1" s="2" t="s">
        <v>4</v>
      </c>
      <c r="C1" s="2" t="s">
        <v>7</v>
      </c>
      <c r="D1" s="2" t="s">
        <v>10</v>
      </c>
      <c r="E1" s="3" t="s">
        <v>14</v>
      </c>
      <c r="F1" s="3" t="s">
        <v>18</v>
      </c>
      <c r="G1" s="3" t="s">
        <v>22</v>
      </c>
    </row>
    <row r="2" ht="26.25" customHeight="1">
      <c r="A2" s="5" t="s">
        <v>28</v>
      </c>
      <c r="B2" s="7" t="s">
        <v>43</v>
      </c>
      <c r="C2" s="9" t="s">
        <v>47</v>
      </c>
      <c r="D2" s="7" t="s">
        <v>49</v>
      </c>
      <c r="E2" s="14">
        <v>46264.0</v>
      </c>
      <c r="F2" s="15" t="s">
        <v>53</v>
      </c>
      <c r="G2" s="17" t="s">
        <v>54</v>
      </c>
    </row>
    <row r="3" ht="26.25" customHeight="1">
      <c r="A3" s="20" t="s">
        <v>61</v>
      </c>
      <c r="B3" s="21" t="s">
        <v>64</v>
      </c>
      <c r="C3" s="23" t="s">
        <v>66</v>
      </c>
      <c r="D3" s="21" t="s">
        <v>67</v>
      </c>
      <c r="E3" s="24">
        <v>46264.0</v>
      </c>
      <c r="F3" s="25" t="s">
        <v>53</v>
      </c>
      <c r="G3" s="26" t="s">
        <v>70</v>
      </c>
    </row>
    <row r="4" ht="26.25" customHeight="1">
      <c r="A4" s="29" t="s">
        <v>61</v>
      </c>
      <c r="B4" s="31"/>
      <c r="C4" s="33" t="s">
        <v>74</v>
      </c>
      <c r="D4" s="35" t="s">
        <v>67</v>
      </c>
      <c r="E4" s="38">
        <v>46268.0</v>
      </c>
      <c r="F4" s="39" t="s">
        <v>53</v>
      </c>
      <c r="G4" s="42" t="s">
        <v>82</v>
      </c>
    </row>
  </sheetData>
  <dataValidations>
    <dataValidation type="custom" allowBlank="1" showDropDown="1" sqref="E2:E4">
      <formula1>OR(NOT(ISERROR(DATEVALUE(E2))), AND(ISNUMBER(E2), LEFT(CELL("format", E2))="D"))</formula1>
    </dataValidation>
    <dataValidation allowBlank="1" showDropDown="1" sqref="A2:A4"/>
    <dataValidation allowBlank="1" showDropDown="1" sqref="B2:B4 D2:D4"/>
    <dataValidation type="list" allowBlank="1" sqref="F2:F4">
      <formula1>"Ativo,Encerrado,Piloto"</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 t="s">
        <v>1</v>
      </c>
      <c r="B1" s="2" t="s">
        <v>27</v>
      </c>
    </row>
    <row r="2" ht="22.5" customHeight="1">
      <c r="A2" s="4" t="s">
        <v>42</v>
      </c>
      <c r="B2" s="11" t="s">
        <v>52</v>
      </c>
    </row>
    <row r="3" ht="22.5" customHeight="1">
      <c r="A3" s="4" t="s">
        <v>96</v>
      </c>
      <c r="B3" s="11" t="s">
        <v>98</v>
      </c>
    </row>
    <row r="4" ht="22.5" customHeight="1">
      <c r="A4" s="4" t="s">
        <v>100</v>
      </c>
      <c r="B4" s="11" t="s">
        <v>101</v>
      </c>
    </row>
    <row r="5" ht="22.5" customHeight="1">
      <c r="A5" s="27" t="s">
        <v>102</v>
      </c>
      <c r="B5" s="37" t="s">
        <v>98</v>
      </c>
    </row>
    <row r="6" ht="22.5" customHeight="1">
      <c r="A6" s="27" t="s">
        <v>107</v>
      </c>
      <c r="B6" s="37" t="s">
        <v>109</v>
      </c>
    </row>
    <row r="7" ht="22.5" customHeight="1">
      <c r="A7" s="27" t="s">
        <v>111</v>
      </c>
      <c r="B7" s="37" t="s">
        <v>109</v>
      </c>
    </row>
    <row r="8" ht="22.5" customHeight="1">
      <c r="A8" s="46" t="s">
        <v>112</v>
      </c>
      <c r="B8" s="37" t="s">
        <v>52</v>
      </c>
    </row>
    <row r="9" ht="22.5" customHeight="1">
      <c r="A9" s="48" t="s">
        <v>113</v>
      </c>
      <c r="B9" s="11" t="s">
        <v>109</v>
      </c>
    </row>
  </sheetData>
  <dataValidations>
    <dataValidation type="list" allowBlank="1" sqref="B2:B9">
      <formula1>"A,B,C,D,E"</formula1>
    </dataValidation>
    <dataValidation allowBlank="1" showDropDown="1" sqref="A2:A9"/>
  </dataValidations>
  <drawing r:id="rId1"/>
  <tableParts count="1">
    <tablePart r:id="rId3"/>
  </tableParts>
</worksheet>
</file>