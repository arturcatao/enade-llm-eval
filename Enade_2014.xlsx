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ões" sheetId="1" r:id="rId5"/>
    <sheet state="visible" name="Respostas LLM" sheetId="2" r:id="rId6"/>
    <sheet state="visible" name="Consenso" sheetId="3" r:id="rId7"/>
    <sheet state="visible" name="Prompts" sheetId="4" r:id="rId8"/>
    <sheet state="visible" name="Gabarito Final" sheetId="5" r:id="rId9"/>
    <sheet state="visible" name="Gabarito_INEP" sheetId="6" r:id="rId10"/>
  </sheets>
  <definedNames/>
  <calcPr/>
</workbook>
</file>

<file path=xl/sharedStrings.xml><?xml version="1.0" encoding="utf-8"?>
<sst xmlns="http://schemas.openxmlformats.org/spreadsheetml/2006/main" count="575" uniqueCount="334">
  <si>
    <t>Questão</t>
  </si>
  <si>
    <t xml:space="preserve">Questão </t>
  </si>
  <si>
    <t>LLM</t>
  </si>
  <si>
    <t>Nome do prompt</t>
  </si>
  <si>
    <t>Tipo</t>
  </si>
  <si>
    <t>Modelo</t>
  </si>
  <si>
    <t>ChatGPT</t>
  </si>
  <si>
    <t>Enunciado</t>
  </si>
  <si>
    <t>Gemini</t>
  </si>
  <si>
    <t>Data</t>
  </si>
  <si>
    <t>Claude</t>
  </si>
  <si>
    <t>Versão</t>
  </si>
  <si>
    <t>Alternativa</t>
  </si>
  <si>
    <t>Consenso</t>
  </si>
  <si>
    <t>Finalidade</t>
  </si>
  <si>
    <t>Confiança</t>
  </si>
  <si>
    <t>Resposta Majoritária</t>
  </si>
  <si>
    <t>Possui figura?</t>
  </si>
  <si>
    <t>Modelos utilizados</t>
  </si>
  <si>
    <t>Dificuldade</t>
  </si>
  <si>
    <t>Gabarito INEP</t>
  </si>
  <si>
    <t>Data de início</t>
  </si>
  <si>
    <t>Acertos</t>
  </si>
  <si>
    <t>Status</t>
  </si>
  <si>
    <t>Situação</t>
  </si>
  <si>
    <t>Texto completo do prompt</t>
  </si>
  <si>
    <t>Confiança média</t>
  </si>
  <si>
    <t>Ambiguidade</t>
  </si>
  <si>
    <t>Prompt resolvedor</t>
  </si>
  <si>
    <t>Dificuldade média</t>
  </si>
  <si>
    <t>Força dos distratores</t>
  </si>
  <si>
    <t>Questão 5</t>
  </si>
  <si>
    <t>Ambiguidade média</t>
  </si>
  <si>
    <t>Tema</t>
  </si>
  <si>
    <t>Ambiguidade máxima</t>
  </si>
  <si>
    <t>Subtema</t>
  </si>
  <si>
    <t>Força dos distratores média</t>
  </si>
  <si>
    <t>Justificativa da resposta</t>
  </si>
  <si>
    <t>Concorda com INEP?</t>
  </si>
  <si>
    <t>V1.2</t>
  </si>
  <si>
    <t>Análise das alternativas</t>
  </si>
  <si>
    <t>Formação Geral</t>
  </si>
  <si>
    <t>Classificação do resultado</t>
  </si>
  <si>
    <t>Justificativa da ambiguidade</t>
  </si>
  <si>
    <t>Resolução definitiva</t>
  </si>
  <si>
    <t>Justificativa dos distratores</t>
  </si>
  <si>
    <t>5</t>
  </si>
  <si>
    <t>ChatGPT; Gemini; Claude</t>
  </si>
  <si>
    <t>QUESTÃO 05
Uma ideia e um aparelho simples devem, em breve, ajudar a salvar vidas de recém-nascidos. Idealizado pelo mecânico argentino Jorge Odón, o dispositivo que leva seu sobrenome desentala um bebê preso no canal vaginal — e, por mais inusitado que pareça, foi criado com base em técnica usada para remover rolhas de dentro de garrafas.
O aparelho consiste em uma bolsa plástica inserida em uma proteção feita do mesmo material e que envolve a cabeça da criança. Estando o dispositivo devidamente posicionado, a bolsa é inflada para aderir à cabeça do bebê e ser puxada aos poucos, de forma a não machucá-lo. O método de Odón deve substituir outros já arcaicos, como o de fórceps e o de tubos de sucção, os quais, se usados por mãos mal treinadas, podem comprometer a vida do bebê, o que, segundo especialistas, não deve acontecer com o novo equipamento.
Segundo o The New York Times, a ideia recebeu apoio da Organização Mundial de Saúde (OMS) e já foi até licenciada por uma empresa norte-americana de tecnologia médica. Não se sabe quando o equipamento começará a ser produzido nem o preço a ser cobrado, mas presume-se que ele não passará de 50 dólares, com redução do preço em países mais pobres.
GUSMÃO, G. Aparelho deve facilitar partos em situações de emergência. Disponível em: &lt;http://exame.abril.com.br&gt;. Acesso em: 18 nov. 2013 (adaptado).
Com relação ao texto acima, avalie as afirmações a seguir.
I. A utilização do método de Odón poderá reduzir a taxa de mortalidade de crianças ao nascer, mesmo em países pobres.
II. Por ser uma variante dos tubos de sucção, o aparelho desenvolvido por Odón é resultado de aperfeiçoamento de equipamentos de parto.
III. Por seu uso simples, o dispositivo de Odón tem grande potencial de ser usado em países onde o parto é usualmente realizado por parteiras.
IV. A possibilidade de, em países mais pobres, reduzir-se o preço do aparelho idealizado por Odón evidencia preocupação com a responsabilidade social.
É correto apenas o que se afirma em
A) I e II.
B) I e IV.
C) II e III.
D) I, III e IV.
E) II, III e IV.</t>
  </si>
  <si>
    <t>Não</t>
  </si>
  <si>
    <t>GPT-5.6 Luna</t>
  </si>
  <si>
    <t>Em resolução pelas LLMs</t>
  </si>
  <si>
    <t>D</t>
  </si>
  <si>
    <t>Questão 12</t>
  </si>
  <si>
    <t>Ativo</t>
  </si>
  <si>
    <t xml:space="preserve">Componente Específico </t>
  </si>
  <si>
    <t>Interpretação de texto</t>
  </si>
  <si>
    <t>Você atuará como especialista na resolução de questões objetivas de nível superior.
Resolva a questão apresentada de maneira independente.
IMPORTANTE:
- Não utilize pesquisa na internet, ferramentas de busca, fontes externas, gabaritos ou respostas previamente publicadas.
- Não tente identificar ou inferir a origem da questão ou seu gabarito oficial.
- Baseie sua resposta exclusivamente no enunciado, nas alternativas e no conhecimento necessário para resolver a questão.
- Se houver inconsistência, insuficiência de informação ou possível ambiguidade, sinalize-a.
- Não altere os critérios de avaliação definidos abaixo.
- Considere esta sua única tentativa de resolução: não revise sua alternativa escolhida posteriormente.
- Não utilize respostas anteriores ou respostas produzidas por outros modelos.
- Diferencie explicitamente ambiguidade da questão e força dos distratores. Uma questão pode não ser ambígua e, ainda assim, apresentar distratores fortes.
Apresente obrigatoriamente sua resposta no seguinte formato:
ALTERNATIVA ESCOLHIDA:
[A, B, C, D ou E]
CONFIANÇA AUTODECLARADA:
[valor inteiro de 0 a 100]
A confiança representa apenas seu grau de segurança na resposta apresentada, não uma probabilidade estatística de acerto.
DIFICULDADE:
[valor inteiro de 1 a 5]
Utilize obrigatoriamente esta escala:
1 = Muito fácil:
Exige reconhecimento direto de conceito ou identificação de informação explícita no enunciado.
2 = Fácil:
Exige aplicação simples de um conceito ou pequeno número de etapas de raciocínio.
3 = Média:
Exige interpretação, articulação de dois ou mais conceitos ou algumas etapas de raciocínio.
4 = Difícil:
Exige integração conceitual, análise cuidadosa das alternativas ou várias etapas de raciocínio.
5 = Muito difícil:
Exige conhecimento aprofundado, raciocínio complexo, integração de múltiplos conceitos ou análise técnica particularmente exigente.
AMBIGUIDADE:
[valor inteiro de 0 a 2]
Avalie exclusivamente a clareza e a suficiência do enunciado e das alternativas para determinar uma resposta correta.
Utilize obrigatoriamente esta escala:
0 = Sem ambiguidade:
O enunciado fornece informações suficientes e existe uma alternativa claramente superior às demais.
1 = Ambiguidade menor:
Há algum termo, construção textual ou aspecto interpretativo que pode gerar dúvida, mas ainda é possível identificar uma alternativa claramente mais adequada.
2 = Ambiguidade relevante:
Há insuficiência de informação, formulação problemática ou duas ou mais interpretações plausíveis que podem conduzir a respostas diferentes.
FORÇA DOS DISTRATORES:
[valor inteiro de 0 a 2]
Considere como distratores as alternativas incorretas elaboradas de maneira plausível para competir com a alternativa correta.
Utilize obrigatoriamente esta escala:
0 = Distratores fracos:
As alternativas incorretas podem ser descartadas facilmente por quem domina os conceitos básicos necessários.
1 = Distratores moderados:
Há pelo menos uma alternativa incorreta plausível, mas a resposta correta permanece claramente superior após análise conceitual.
2 = Distratores fortes:
Uma ou mais alternativas incorretas são conceitualmente próximas da resposta correta, parcialmente verdadeiras, utilizam conceitos corretos em contexto inadequado ou exigem análise cuidadosa para serem descartadas.
TEMA PRINCIPAL:
[tema]
SUBTEMA:
[subtema]
JUSTIFICATIVA DA RESPOSTA:
Explique de maneira técnica, objetiva e suficientemente detalhada por que a alternativa escolhida é correta.
ANÁLISE DAS ALTERNATIVAS:
A:
Explique por que está correta ou incorreta.
B:
Explique por que está correta ou incorreta.
C:
Explique por que está correta ou incorreta.
D:
Explique por que está correta ou incorreta.
E:
Explique por que está correta ou incorreta.
JUSTIFICATIVA DA AMBIGUIDADE:
Explique brevemente por que atribuiu o nível 0, 1 ou 2. Caso exista ambiguidade, identifique especificamente o trecho, conceito ou aspecto responsável por ela.
JUSTIFICATIVA DOS DISTRATORES:
Explique brevemente por que atribuiu o nível 0, 1 ou 2. Identifique, quando houver, quais alternativas funcionam como os principais distratores e por que podem parecer plausíveis.
Apresente somente os campos solicitados, sem comentários adicionais.
QUESTÃO A SER ANALISADA:
[COLE A QUESTÃO COMPLETA AQUI]</t>
  </si>
  <si>
    <t>QUESTÃO 12
Analise o custo computacional dos algoritmos a seguir, que calculam o valor de um polinômio de grau n, da forma:
P(x) = aₙxⁿ + aₙ₋₁xⁿ⁻¹ + ... + a₁x¹ + a₀,
onde os coeficientes são números de ponto flutuante armazenados no vetor a[0..n], e o valor de n é maior que zero. Todos os coeficientes podem assumir qualquer valor, exceto o coeficiente aₙ que é diferente de zero.
Algoritmo 1:
soma = a[0]
Repita para i = 1 até n
    Se a[i] ≠ 0.0 então
        potência = x
        Repita para j = 2 até i
            potência = potência * x
        Fim repita
        soma = soma + a[i] * potencia
    Fim se
Fim repita
Imprima(soma)
Algoritmo 2:
soma = a[n]
Repita para i = n-1 até 0 passo -1
    soma = soma * x + a[i]
Fim repita
Imprima(soma)
Com base nos algoritmos 1 e 2, avalie as asserções a seguir e a relação proposta entre elas.
I. Os algoritmos possuem a mesma complexidade assintótica.
PORQUE
II. Para o melhor caso, ambos os algoritmos possuem complexidade O(n).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t>
  </si>
  <si>
    <t>Inferência e identificação de informações explícitas e implícitas</t>
  </si>
  <si>
    <t>JUSTIFICATIVA DA RESPOSTA:
A alternativa D (I, III e IV) é a correta.
A afirmação I é compatível com o texto, pois o dispositivo foi desenvolvido para situações de emergência no parto e busca reduzir os riscos associados ao uso inadequado de fórceps e tubos de sucção. Além disso, o texto informa que seu preço poderá ser reduzido em países mais pobres, permitindo inferir seu potencial de utilização nesses locais.
A afirmação II está incorreta porque o texto não afirma que o aparelho de Odón seja uma variante ou aperfeiçoamento dos tubos de sucção. Sua origem é outra: a ideia foi baseada em uma técnica utilizada para retirar rolhas de garrafas.
A afirmação III é adequada porque o dispositivo é descrito como simples e com potencial de utilização em contextos nos quais há menor disponibilidade de recursos e profissionais especializados, como regiões em que partos são realizados por parteiras.
A afirmação IV também é adequada. A previsão de redução do preço em países mais pobres demonstra uma preocupação em tornar o equipamento acessível a populações com menos recursos, o que caracteriza uma dimensão de responsabilidade social.</t>
  </si>
  <si>
    <t>ANÁLISE DAS ALTERNATIVAS:
A:
Incorreta. A afirmação II é falsa. O aparelho não é apresentado como uma variante dos tubos de sucção; sua inspiração veio de uma técnica para retirar rolhas de garrafas.
B:
Incorreta. As afirmações I e IV estão corretas, mas a III também está correta. Portanto, não é correto afirmar apenas I e IV.
C:
Incorreta. A afirmação II é falsa, enquanto I e IV são verdadeiras. Logo, o conjunto apresentado não corresponde ao texto.
D:
Correta. As afirmações I, III e IV são compatíveis com as informações e inferências permitidas pelo texto, enquanto II é incorreta.
E:
Incorreta. Inclui a afirmação II, que atribui ao aparelho uma origem como aperfeiçoamento de equipamentos de parto, informação que não aparece no texto e contradiz sua origem explicitamente apresentada.</t>
  </si>
  <si>
    <t>JUSTIFICATIVA DA AMBIGUIDADE:
Nível 0 (sem ambiguidade). O texto fornece elementos suficientes para distinguir as afirmações. A origem do dispositivo é explicitamente relacionada à técnica de retirada de rolhas, o que permite rejeitar II, enquanto as demais afirmações podem ser sustentadas pelas informações apresentadas e pelas inferências propostas.</t>
  </si>
  <si>
    <t>JUSTIFICATIVA DOS DISTRATORES:
Nível 2 (distratores fortes). A afirmação II é um distrator particularmente plausível porque o texto menciona os tubos de sucção e afirma que o novo dispositivo poderia substituí-los. Isso pode levar o leitor a confundir substituição com aperfeiçoamento ou evolução do equipamento. As alternativas A, C e E exploram essa possível confusão, exigindo atenção à origem efetivamente apresentada para o aparelho.</t>
  </si>
  <si>
    <t>Prompt Judge</t>
  </si>
  <si>
    <t>Questão 14</t>
  </si>
  <si>
    <t>QUESTÃO 14
Seja o universo U = {10, 20, 30, 40} e o conjunto dos números naturais N. Com base no conhecimento sobre a lógica de predicados, avalie as afirmações a seguir.
I. H = (∀x ∈ N)(∃y ∈ U)(x &lt; y) é válida.
II. H = (∀x ∈ N)(∃y ∈ N)(y &lt; x) é válida.
III. H = (∀x ∈ U)(∃y ∈ U)(x &gt; y) é inválida, sendo x = 10 um contra-exemplo.
É correto o que se afirma em
A) I, apenas.
B) III, apenas.
C) I e II, apenas.
D) II e III, apenas.
E) I, II e III.</t>
  </si>
  <si>
    <t>V1.1</t>
  </si>
  <si>
    <t>Gemini 3.6 Flash</t>
  </si>
  <si>
    <t>Questão 15</t>
  </si>
  <si>
    <t>Avaliação e seleção da resposta-base</t>
  </si>
  <si>
    <t>Mistral Medium</t>
  </si>
  <si>
    <t>QUESTÃO 15
Considere as seguintes expressões regulares cujo alfabeto é {a, b}:
R1 = a(a ∪ b)*
R2 = b(a ∪ b)*
Se L(R) é a linguagem associada a uma expressão regular R, é correto afirmar que
A) L(R1) = L(R2).
B) L(R2) = {w | w termina com b}.
C) existe um autômato finito determinístico cuja linguagem é igual a L(R1) ∪ L(R2).
D) se R3 é uma expressão regular tal que L(R3) = L(R1) ∩ L(R2), então L(R3) é uma linguagem infinita.
E) um autômato finito não determinístico que reconheça L(R1) ∪ L(R2) tem, pelo menos, quatro estados.</t>
  </si>
  <si>
    <t>Questão 16</t>
  </si>
  <si>
    <t>QUESTÃO 16
Uma pilha é uma estrutura de dados que armazena uma coleção de itens de dados relacionados e que garante o seguinte funcionamento: o último elemento a ser inserido é o primeiro a ser removido. É comum na literatura utilizar os nomes push e pop para as operações de inserção e remoção de um elemento em uma pilha, respectivamente. O seguinte trecho de código em linguagem C define uma estrutura de dados pilha utilizando um vetor de inteiros, bem como algumas funções para sua manipulação.
#include &lt;stdlib.h&gt;
#include &lt;stdio.h&gt;
typedef struct {
    int elementos[100];
    int topo;
}pilha;
pilha * cria_pilha() {
    pilha * p =malloc(sizeof(pilha));
    p-&gt;topo = -1;
    return pilha;
}
void push(pilha *p, int elemento) {
    if (p-&gt;topo &gt;= 99)
        return;
    p-&gt;elementos[++p-&gt;topo] = elemento;
}
int pop(pilha *p) {
    int a = p-&gt;elementos[p-&gt;topo];
    p-&gt;topo--;
    return a;
}
O programa a seguir utiliza uma pilha.
int main() {
    pilha * p = cria_pilha();
    push(p, 2);
    push(p, 3);
    push(p, 4);
    pop(p);
    push(p, 2);
    int a = pop(p) + pop(p);
    push(p, a);
    a += pop(p);
    printf("%d", a);
    return 0;
}
A esse respeito, avalie as afirmações a seguir.
I. A complexidade computacional de ambas funções push e pop é O(1).
II. O valor exibido pelo programa seria o mesmo caso a instrução a += pop(p); fosse trocada por a += a;
III. Em relação ao vazamento de memória (memory leak), é opcional chamar a função free(p), pois o vetor usado pela pilha é alocado estaticamente.
É correto o que se afirma em
A) I, apenas.
B) III, apenas.
C) I e II, apenas.
D) II e III, apenas.
E) I, II e III.</t>
  </si>
  <si>
    <t>Interpretação de Texto</t>
  </si>
  <si>
    <t>Você atuará como avaliador independente da qualidade de três soluções produzidas para uma questão objetiva de nível superior.
Você receberá:
1. o enunciado integral da questão;
2. o gabarito oficial;
3. três respostas anonimizadas, denominadas Resposta A, Resposta B e Resposta C.
Sua função é avaliar a qualidade técnica, lógica e pedagógica das três soluções e identificar qual delas apresenta a melhor fundamentação para servir de base à elaboração de um gabarito comentado.
IMPORTANTE:
- Não utilize pesquisa na internet, ferramentas de busca ou fontes externas.
- Baseie sua avaliação exclusivamente no enunciado, no gabarito oficial fornecido e nas três respostas apresentadas.
- Não tente identificar qual modelo produziu cada resposta.
- Não utilize informações sobre confiança, dificuldade ou ambiguidade dos modelos, mesmo que tente inferi-las.
- Avalie cada resposta de maneira independente.
- Não escolha automaticamente uma resposta apenas porque ela coincide com o gabarito oficial; avalie também a qualidade da fundamentação apresentada.
- Entretanto, para ser considerada elegível como resposta-base do gabarito comentado, a alternativa escolhida pela resposta deve coincidir com o gabarito oficial.
- Caso uma resposta apresente alternativa incorreta, ainda assim avalie normalmente sua qualidade nos critérios estabelecidos, mas classifique-a como NÃO ELEGÍVEL para servir de resposta-base.
- Considere o gabarito oficial como referência institucional.
- Caso identifique possível inconsistência relevante entre o enunciado e o gabarito oficial, sinalize-a e recomende revisão humana, sem substituir unilateralmente o gabarito.
- É permitido declarar empate técnico entre duas ou mais respostas quando não houver diferença relevante de qualidade.
- Não force a escolha de uma única resposta quando houver empate técnico justificável.
Avalie separadamente as Respostas A, B e C segundo os seguintes critérios, atribuindo de 0 a 5 pontos em cada um:
1. CORREÇÃO CONCEITUAL
0 = conteúdo conceitualmente incorreto.
5 = conteúdo conceitualmente correto, preciso e sem erros relevantes.
2. COERÊNCIA LÓGICA
0 = raciocínio contraditório, inconsistente ou sem conexão lógica.
5 = raciocínio plenamente consistente e logicamente estruturado.
3. FUNDAMENTAÇÃO
0 = ausência de fundamentação ou justificativa inadequada.
5 = fundamentação completa, tecnicamente adequada e suficiente para sustentar a resposta.
4. ANÁLISE DOS DISTRATORES
0 = alternativas incorretas não são analisadas ou são analisadas incorretamente.
5 = alternativas são analisadas adequadamente, identificando corretamente por que a alternativa correta é superior aos distratores.
5. CLAREZA PEDAGÓGICA
0 = explicação confusa ou inadequada para fins educacionais.
5 = explicação clara, didática, objetiva e útil para estudantes.
6. ADERÊNCIA AO ENUNCIADO
0 = ignora, interpreta incorretamente ou distorce elementos relevantes do enunciado.
5 = utiliza corretamente e de forma precisa as informações fornecidas pela questão.
Para cada resposta utilize obrigatoriamente o seguinte formato:
RESPOSTA A
- Alternativa escolhida:
- Correção conceitual: X/5
- Coerência lógica: X/5
- Fundamentação: X/5
- Análise dos distratores: X/5
- Clareza pedagógica: X/5
- Aderência ao enunciado: X/5
- Total: X/30
- Elegível como resposta-base: [Sim ou Não]
- Principal qualidade:
- Principal problema:
Repita exatamente a mesma estrutura para RESPOSTA B e RESPOSTA C.
Após avaliar as três respostas, apresente:
RESPOSTAS ELEGÍVEIS PARA O GABARITO COMENTADO:
[indique A, B, C, combinações entre elas ou Nenhuma]
MELHOR RESPOSTA PARA SERVIR DE BASE AO GABARITO COMENTADO:
[A, B, C ou EMPATE entre as respostas]
JUSTIFICATIVA DA ESCOLHA:
Explique objetivamente por que essa resposta apresenta melhor qualidade técnica e pedagógica entre as respostas elegíveis.
EMPATE TÉCNICO:
[Sim ou Não]
Se Sim:
Indique quais respostas estão empatadas e explique por que não existe diferença relevante suficiente para selecionar uma delas isoladamente.
DIVERGÊNCIAS RELEVANTES:
Identifique erros conceituais, interpretações divergentes, fragilidades de fundamentação ou problemas relevantes encontrados nas três respostas.
RESPOSTA-BASE RECOMENDADA:
[A, B, C, SÍNTESE DE A+B, SÍNTESE DE A+C, SÍNTESE DE B+C, SÍNTESE DE A+B+C ou NENHUMA]
A resposta-base recomendada deve considerar apenas respostas elegíveis.
REVISÃO HUMANA RECOMENDADA:
[Sim ou Não]
JUSTIFICATIVA DA REVISÃO HUMANA:
Informe objetivamente o motivo.
Caso todas as respostas sejam inadequadas, exista possível problema no gabarito oficial ou não seja possível selecionar uma base confiável, obrigatoriamente recomende revisão humana.
QUESTÃO:
[COLE A QUESTÃO COMPLETA]
GABARITO OFICIAL:
[COLE O GABARITO]
RESPOSTA A:
[COLE A RESPOSTA ANONIMIZADA]
RESPOSTA B:
[COLE A RESPOSTA ANONIMIZADA]
RESPOSTA C:
[COLE A RESPOSTA ANONIMIZADA]</t>
  </si>
  <si>
    <t>Inovação em Saúde e Responsabilidade Social</t>
  </si>
  <si>
    <t>JUSTIFICATIVA DA RESPOSTA:
A análise detalhada das afirmações com base no texto revela o seguinte:
Afirmação I (Correta): O texto menciona que o dispositivo ajudará a "salvar vidas de recém-nascidos", previne riscos causados por mãos mal treinadas e prevê a "redução do preço em países mais pobres", sustentando que a medida pode reduzir a mortalidade neonatal nesses locais.
Afirmação II (Incorreta): O texto deixa claro que o aparelho foi idealizado com base em uma técnica para remover rolhas de garrafas e que pretende substituir métodos arcaicos (como fórceps e tubos de sucção). Ele não é uma variante ou aperfeiçoamento dos tubos de sucção.
Afirmação III (Correta): O texto destaca a simplicidade do dispositivo e enfatiza que, ao contrário dos métodos tradicionais, ele não compromete a vida do bebê se operado por "mãos mal treinadas". Isso fundamenta seu elevado potencial de aplicação em contextos onde o parto é assistido por parteiras ou profissionais sem treinamento cirúrgico especializado.
Afirmação IV (Correta): A previsão de redução do preço do equipamento em países em desenvolvimento reflete uma política de acessibilidade e equidade em saúde pública, evidenciando preocupação com a responsabilidade social.
Portanto, apenas as afirmações I, III e IV estão corretas, tornando a alternativa D a resposta correta.</t>
  </si>
  <si>
    <t>ANÁLISE DAS ALTERNATIVAS:
A:
Incorreta. Considera a afirmação II como verdadeira, o que contraria o texto (o aparelho não é aperfeiçoamento de tubos de sucção), além de omitir as afirmações III e IV.
B:
Incorreta. Reconhece as afirmações I e IV como corretas, porém omite indevidamente a afirmação III, que é válida e coerente com a análise do texto sobre o uso por pessoal não especializado.
C:
Incorreta. Considera a afirmação II verdadeira e omite as afirmações I e IV, ambas diretamente respaldadas pelo texto.
D:
Correta. Identifica com precisão a veracidade das afirmações I, III e IV e a falsidade da afirmação II.
E:
Incorreta. Inclui a afirmação II, que é conceitualmente incorreta em relação ao texto, e omite a afirmação I.</t>
  </si>
  <si>
    <t>Questão 19</t>
  </si>
  <si>
    <t>JUSTIFICATIVA DA AMBIGUIDADE:
Nível 0 (Sem ambiguidade). O texto traz informações explícitas que permitem descartar categoricamente a afirmação II. Com a eliminação das alternativas que contêm a afirmação II (A, C e E), o julgamento da afirmação III direciona de forma lógica e unívoca para a alternativa D.</t>
  </si>
  <si>
    <t>QUESTÃO 19
O algoritmo de traçado de raios (ray-tracing) é considerado um marco no desenvolvimento de técnicas de computação gráfica para a geração de imagens realistas.
[IMAGENS ORIGINAIS 1, 2 E 3 EM ANEXO]
Imagem 1
Disponível em: &lt;http://www.wikipedia.org&gt;. Acesso em: 18 jun. 2014.
Imagem 2
Disponível em: &lt;http://www.colegioweb.com.br&gt;. Acesso em: 18 jun. 2014.
Imagem 3
Disponível em: &lt;http://www.cgw.com&gt;. Acesso em: 18 jun. 2014.
A partir da análise das imagens apresentadas, conclui-se que a técnica de traçado de raios foi utilizada para a geração
A) apenas da imagem 1.
B) apenas da imagem 2.
C) apenas das imagens 1 e 3.
D) apenas das imagens 2 e 3.
E) das imagens 1, 2 e 3.</t>
  </si>
  <si>
    <t>Sim</t>
  </si>
  <si>
    <t>JUSTIFICATIVA DOS DISTRATORES:
Nível 1 (Distratores moderados). A alternativa B atua como distrator moderado por conter duas proposições manifestamente verdadeiras (I e IV), exigindo do leitor a interpretação da relação entre "mãos mal treinadas" e a atuação de parteiras na afirmação III para confirmar a alternativa D.</t>
  </si>
  <si>
    <t>Questão 22</t>
  </si>
  <si>
    <t>QUESTÃO 22
Considere o processo de fabricação de um produto siderúrgico que necessita passar por n tratamentos térmicos e químicos para ficar pronto. Cada uma das n etapas de tratamento é realizada uma única vez na mesma caldeira. Além do custo próprio de cada etapa do tratamento, existe o custo de se passar de uma etapa para outra, uma vez que, dependendo da sequência escolhida, pode ser necessário alterar a temperatura da caldeira e limpá-la para evitar a reação entre os produtos químicos utilizados. Assuma que o processo de fabricação inicia e termina com a caldeira limpa. Deseja-se projetar um algoritmo para indicar a sequência de tratamentos que possibilite fabricar o produto com o menor custo total. Nessa situação, conclui-se que
A) a solução do problema é obtida em tempo de ordem O(nlogn), utilizando-se um algoritmo ótimo de ordenação.
B) uma heurística para a solução do problema de coloração de grafos solucionará o problema em tempo polinomial.
C) o problema se reduz a encontrar a árvore geradora mínima para o conjunto de etapas do processo, requerendo tempo de ordem polinomial para ser solucionado.
D) a utilização do algoritmo de Dijkstra para se determinar o caminho de custo mínimo entre o estado inicial e o final soluciona o problema em tempo polinomial.
E) qualquer algoritmo conhecido para a solução do problema descrito possui ordem de complexidade de tempo não-polinomial, uma vez que o problema do caixeiro viajante se reduz a ele.</t>
  </si>
  <si>
    <t>Questão 23</t>
  </si>
  <si>
    <t>QUESTÃO 23
Qual o valor de retorno da função a seguir, caso n = 27?
int recursao (int n) {
    if (n &lt;= 10) {
        return n * 2;
    }
    else {
        return recursao(recursao(n/3));
    }
}
A) 8.
B) 9.
C) 12.
D) 16.
E) 18.</t>
  </si>
  <si>
    <t>Sonnet 5</t>
  </si>
  <si>
    <t>Revisão das respostas finais</t>
  </si>
  <si>
    <t>Questão 27</t>
  </si>
  <si>
    <t>QUESTÃO 27
Considere o seguinte argumento:
1 - Se existe fogo, então existe oxigênio.
2 - Não há oxigênio.
3 - Então não há fogo.
A regra de inferência que justifica a validade do argumento acima é
A)
P → Q, ¬P
──────────
¬Q
B)
P → Q, ¬Q
──────────
¬P
C)
P → Q, Q
─────────
P
D)
P → Q, ¬Q
──────────
¬¬P
E)
P → Q, P
─────────
Q</t>
  </si>
  <si>
    <t>Interpretação de texto jornalístico</t>
  </si>
  <si>
    <t>Questão 28</t>
  </si>
  <si>
    <t>Compreensão e inferência textual (texto sobre o dispositivo de Odón)</t>
  </si>
  <si>
    <t>QUESTÃO 28
Um cientista afirma ter encontrado uma redução polinomial de um problema NP-Completo para um problema pertencente à classe P. Considerando que esta afirmação tem implicações importantes no que diz respeito à complexidade computacional, avalie as seguintes asserções e a relação proposta entre elas.
I. A descoberta do cientista implica P = NP.
PORQUE
II. A descoberta do cientista implica na existência de algoritmos polinomiais para todos os problemas NP-Completos.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t>
  </si>
  <si>
    <t>JUSTIFICATIVA DA RESPOSTA:
O texto afirma que o método de Odón deve substituir técnicas arcaicas e reduzir riscos ao bebê, sendo mais seguro mesmo em mãos menos treinadas, e que seu preço poderá ser reduzido em países pobres — o que sustenta as afirmações I, III e IV. A afirmação II está incorreta porque o texto explicitamente diz que o dispositivo foi criado com base na técnica de remover rolhas de garrafas, e não como aperfeiçoamento dos tubos de sucção, os quais são citados como método arcaico a ser substituído, não aprimorado.</t>
  </si>
  <si>
    <t>ANÁLISE DAS ALTERNATIVAS:
A:
Incorreta. Inclui a afirmação II, que é falsa, pois o dispositivo não é uma variante dos tubos de sucção.
B:
Incorreta. Embora I e IV sejam verdadeiras, a alternativa omite III, que também é sustentada pelo texto (uso simples e seguro, com potencial de emprego por profissionais menos especializados, como parteiras).
C:
Incorreta. Inclui II, que é falsa, e omite I e IV, que são verdadeiras.
D:
Correta. I é sustentada pelo texto, que indica que o dispositivo é mais seguro e terá preço acessível inclusive em países pobres, favorecendo redução de mortalidade neonatal. III é sustentada pela simplicidade do método (inflar e puxar a bolsa), que dispensa a perícia técnica exigida pelo fórceps, favorecendo seu uso por parteiras. IV é sustentada pela menção explícita à redução de preço em países mais pobres, evidenciando preocupação social.
E:
Incorreta. Inclui II, que é falsa, apesar de III e IV serem verdadeiras.</t>
  </si>
  <si>
    <t>JUSTIFICATIVA DA AMBIGUIDADE:
O enunciado e as afirmações são claros e diretamente respaldados ou refutados pelo texto-base, sem margem para interpretações alternativas razoáveis.</t>
  </si>
  <si>
    <t>Questão 30</t>
  </si>
  <si>
    <t>JUSTIFICATIVA DOS DISTRATORES:
A afirmação II é um distrator moderado, pois mistura corretamente a ideia de "aparelho de parto" com uma associação equivocada (variante dos tubos de sucção), podendo confundir quem não atentar ao trecho que menciona a origem do dispositivo na técnica de remoção de rolhas. As demais alternativas incorretas (A, B, C, E) decorrem de combinações que omitem ou incluem itens de forma relativamente fácil de descartar com leitura atenta.</t>
  </si>
  <si>
    <t>QUESTÃO 30
Uma fazenda possui um único poço artesiano que deve abastecer n bebedouros para o gado. Deseja-se determinar um projeto de ligação entre esses n+1 pontos através de encanamentos com a menor extensão total. Um algoritmo proposto para a solução do problema executa os seguintes passos:
1. Crie n+1 conjuntos unitários, cada um contendo um dos pontos a serem ligados entre si e insira esses conjuntos em um conjunto C.
2. Crie um conjunto D contendo um registro para cada combinação possível de dois pontos distintos a serem ligados. Cada registro deve conter os campos ci, cj e d, em que ci e cj são os dois pontos a serem ligados e d é a distância entre eles.
3. Enquanto D não estiver vazio faça:
3.1. Remova o registro de D com o menor valor de distância d.
3.2. Se os valores de ci e cj do registro removido pertencerem a conjuntos distintos de C, então:
3.2.1. Substitua estes dois conjuntos pela união entre eles.
3.2.2. Guarde o registro removido em um conjunto-solução.
Com base na descrição do problema e do algoritmo proposto, conclui-se que
A) o problema exemplifica a obtenção de uma árvore geradora mínima, portanto está no conjunto P.
B) o algoritmo é uma heurística para o Problema do Caixeiro Viajante, logo apresenta complexidade polinomial.
C) o problema descrito é de otimização, logo pertence ao conjunto NP–difícil, mas não ao conjunto NP–completo.
D) uma alternativa para a solução do problema é usar o algoritmo de Dijkstra para obtenção do caminho mínimo entre dois pontos.
E) o passo de maior custo do algoritmo é a criação do conjunto D com as combinações de pontos, apresentando complexidade computacional O(n!).</t>
  </si>
  <si>
    <t>"""
    Monta o prompt enviado ao Mistral.
    `dados` é um dicionário com os campos já resolvidos pelo main.py
    (nenhum dado objetivo deve ser inferido ou inventado pelo modelo):
      - numero               (int)
      - enunciado            (str)
      - gabarito_inep        (str ou None)
      - situacao_oficial     (str ou None)
      - resposta_avaliada    (str ou None)  -- vem da coluna
                                                "Gabarito comentado final"
      - modelo_base          (str ou None)
    Não existe, separadamente, um "gabarito comentado oficial" para
    comparação: a única referência autorizada para a alternativa
    correta é `gabarito_inep`.
    Quando a Situação oficial for "Anulada", a explicacao_final deve ser
    exatamente "QUESTÃO ANULADA" — o bloco de regra correspondente só é
    injetado no prompt nesse caso.
    """
    numero_questao = dados["numero"]
    enunciado = dados["enunciado"]
    gabarito_inep = dados.get("gabarito_inep")
    if gabarito_inep is None or str(gabarito_inep).strip() == "":
        texto_gabarito_inep = (
            "[NÃO INFORMADO — não existe Gabarito INEP cadastrado "
            "para esta questão]"
        )
    else:
        texto_gabarito_inep = str(gabarito_inep).strip()
    situacao_oficial = dados.get("situacao_oficial")
    if situacao_oficial is None or str(situacao_oficial).strip() == "":
        texto_situacao = "[NÃO INFORMADA]"
    else:
        texto_situacao = str(situacao_oficial).strip()
    # Decisão determinística feita em Python: o modelo não precisa
    # descobrir nem inferir se a questão está anulada.
    anulada = texto_situacao.strip().lower() == "anulada"
    resposta_avaliada = dados.get("resposta_avaliada")
    if resposta_avaliada is None or str(resposta_avaliada).strip() == "":
        texto_resposta_avaliada = (
            "[NENHUMA RESPOSTA FOI FORNECIDA PARA ESTA QUESTÃO — "
            "NÃO EXISTE RESPOSTA PARA AVALIAR]"
        )
    else:
        texto_resposta_avaliada = str(resposta_avaliada).strip()
    modelo_base = dados.get("modelo_base")
    if modelo_base is None or str(modelo_base).strip() == "":
        texto_modelo_base = "Não informado"
    else:
        texto_modelo_base = str(modelo_base).strip()
    if anulada:
        bloco_anulada = """
==================================================
REGRA CRÍTICA: QUESTÃO ANULADA (PRECEDÊNCIA MÁXIMA)
==================================================
A Situação oficial desta questão é "Anulada".
Esta regra tem precedência sobre TODAS as demais regras relativas ao
campo explicacao_final, inclusive sobre a regra que manda manter a
resposta avaliada quando todos os critérios forem "SIM" e sobre a
regra que manda produzir uma nova resolução quando algum critério for
"NAO".
O campo explicacao_final DEVE ser exatamente esta string, e nada além
dela:
QUESTÃO ANULADA
Nesse caso você NÃO deve:
- apontar qualquer alternativa como correta;
- escrever o cabeçalho "QUESTÃO [número] — Alternativa [...]";
- fazer comentário geral ou análise das alternativas A) a E);
- reproduzir, resumir ou corrigir a resposta avaliada;
- justificar o motivo da anulação;
- acrescentar qualquer texto antes ou depois de "QUESTÃO ANULADA".
Ignore integralmente a seção "REGRA PARA EXPLICACAO_FINAL" e a
estrutura de resolução descrita nela.
Os demais campos do array (se_acertou, explicacao_ta_boa,
sem_rastro_llm, acordo_com_inep e anulada_tem_explicacao) continuam
sendo avaliados normalmente, segundo os critérios descritos acima.
"""
    else:
        bloco_anulada = ""
    prompt = f"""
Você atuará como professor e avaliador especialista na correção de
questões objetivas de nível superior do ENADE 2021.
Sua tarefa é avaliar a RESPOSTA AVALIADA (fornecida abaixo, nos DADOS DA
QUESTÃO) para a questão indicada, comparando-a com o Gabarito INEP,
também fornecido abaixo — a única referência oficial disponível para a
alternativa correta.
Todos os dados objetivos desta tarefa (enunciado, resposta avaliada,
gabarito INEP, situação oficial da questão) são fornecidos
explicitamente abaixo, na seção DADOS DA QUESTÃO. Você NUNCA
deve inventar, presumir ou completar qualquer um desses dados. Se um
dado não foi fornecido, ele está marcado como tal explicitamente — trate
isso como um fato, não como algo a ser deduzido.
Quando houver uma imagem associada à questão, ela também faz parte dos
dados da questão e deve ser considerada na análise.
Não faça pesquisas na internet nem utilize fontes externas para avaliar
os critérios abaixo. Isso NÃO impede o uso do Gabarito INEP fornecido
nos DADOS DA QUESTÃO — ele é um dado oficial fornecido diretamente para
esta tarefa, e não pesquisa externa. Use-o normalmente para os
critérios que o exigem.
==================================================
REGRA CRÍTICA: RESPOSTA AVALIADA AUSENTE
==================================================
Se o campo "Resposta avaliada" abaixo indicar que NENHUMA resposta foi
fornecida, você DEVE:
- se_acertou = "NAO"
- explicacao_ta_boa = "NAO"
- sem_rastro_llm = "NAO"
- acordo_com_inep = "NAO"
Nunca retorne "SIM" para nenhum desses quatro campos quando não houver
resposta avaliada. Não existe cenário em que a ausência de resposta
resulte em "tudo correto". Mesmo nesse caso, gere normalmente a
explicacao_final como a resolução técnica da questão (ver regra
específica mais abaixo), sem mencionar a ausência de resposta dentro do
texto da explicacao_final.
==================================================
REGRA CRÍTICA: GABARITO INEP AUSENTE
==================================================
Se o campo "Gabarito INEP" abaixo indicar que ele não foi informado,
você DEVE:
- acordo_com_inep = "NAO"
- se_acertou = "NAO"
Nunca invente ou deduza qual seria o gabarito oficial nesse caso.
==================================================
REGRA CRÍTICA: SITUAÇÃO OFICIAL DA QUESTÃO
==================================================
O campo "Situação oficial" abaixo já informa, de forma definitiva, se a
questão está anulada ou regular. Você NÃO deve tentar descobrir ou
inferir isso por conta própria a partir do enunciado ou do gabarito
comentado — use exclusivamente o valor fornecido nesse campo.
- Se a Situação oficial NÃO for "Anulada", retorne exatamente null no
  campo anulada_tem_explicacao (o critério não se aplica).
- Se a Situação oficial FOR "Anulada", avalie se a resposta avaliada
  identifica isso e explica o motivo adequadamente, retornando "SIM" ou
  "NAO".
{bloco_anulada}
==================================================
CRITÉRIOS DE AVALIAÇÃO
==================================================
1. SE_ACERTOU
Verifique se a alternativa escolhida na resposta avaliada corresponde
ao Gabarito INEP.
Retorne:
- "SIM" se corresponde ao gabarito.
- "NAO" caso contrário (inclusive se não houver resposta avaliada ou
  não houver Gabarito INEP, conforme regras críticas acima).
2. EXPLICACAO_TA_BOA
Avalie se a explicação contida na resposta avaliada está tecnicamente
correta, clara, objetiva e suficientemente detalhada.
Considere se ela:
- justifica adequadamente a alternativa escolhida;
- apresenta os conceitos necessários;
- não contém erros conceituais;
- possui explicação suficiente para compreender por que a alternativa
  está correta.
Quando for relevante, também pode explicar por que as demais
alternativas estão incorretas.
Retorne:
- "SIM" se a explicação for adequada.
- "NAO" se estiver incorreta, incompleta, superficial, confusa,
  insuficiente ou ausente.
3. SEM_RASTRO_LLM
Avalie se a resposta avaliada apresenta uma redação natural e
compatível com uma resposta humana, sem características evidentes de
texto gerado por LLM.
Retorne:
- "SIM" se parecer natural e humana.
- "NAO" se apresentar sinais evidentes de texto artificial, robótico,
  genérico, excessivamente padronizado, ou se não houver resposta para
  avaliar.
4. ACORDO_COM_INEP
Verifique se a resposta avaliada está de acordo com o Gabarito INEP
fornecido (a única referência oficial disponível para a alternativa
correta) e se não apresenta erro conceitual relevante.
Retorne:
- "SIM" se estiver de acordo e não apresentar erro conceitual relevante.
- "NAO" se houver contradição, erro conceitual relevante, conclusão
  incompatível com o Gabarito INEP, ausência de resposta ou ausência
  de Gabarito INEP.
5. ANULADA_TEM_EXPLICACAO
Aplique exatamente a REGRA CRÍTICA: SITUAÇÃO OFICIAL DA QUESTÃO descrita
acima.
null significa que o critério não se aplica. Não considere null como
"NAO".
==================================================
REGRA PARA EXPLICACAO_FINAL
==================================================
Esta seção só se aplica quando a questão NÃO estiver anulada. Se houver
acima uma REGRA CRÍTICA: QUESTÃO ANULADA, ela tem precedência e esta
seção deve ser ignorada por completo.
Se TODOS os critérios aplicáveis (se_acertou, explicacao_ta_boa,
sem_rastro_llm, acordo_com_inep e, quando aplicável,
anulada_tem_explicacao) forem "SIM", mantenha a resposta avaliada
EXATAMENTE como foi apresentada em explicacao_final. Não corrija, resuma
ou altere a resposta nesse caso.
Se QUALQUER critério aplicável for "NAO", substitua completamente a
explicação fornecida por uma nova resolução, seguindo a estrutura
abaixo.
A explicação final deve ser uma resolução objetiva e técnica da questão,
como se fosse produzida por um professor especialista, escrita de forma
independente — não copie literalmente o texto da resposta avaliada,
mesmo que use a mesma alternativa correta como referência.
IMPORTANTE:
- Baseie sua resposta exclusivamente no enunciado, nas alternativas, no
  Gabarito INEP fornecido (para saber qual é a alternativa correta) e
  no conhecimento necessário para resolver a questão.
- Não tente identificar ou inferir a origem da questão.
- Se houver inconsistência, insuficiência de informação ou possível
  ambiguidade no enunciado, sinalize-a.
- Nunca invente uma alternativa correta que não esteja de acordo com o
  Gabarito INEP fornecido. Se o Gabarito INEP não foi informado, deixe
  claro na resolução que não há gabarito oficial disponível para esta
  questão, em vez de apontar uma alternativa como correta.
A resolução deve ser escrita como um comentário de professor
especialista, explicando o raciocínio necessário para chegar à resposta
correta.
Apresente a resolução seguindo esta estrutura:
QUESTÃO [número] — Alternativa [alternativa correta]
Comentário geral
Apresente uma explicação geral sobre o que a questão aborda e os
principais conceitos necessários para resolvê-la.
Em seguida, analise as afirmações ou elementos apresentados no
enunciado, quando houver, explicando quais estão corretos ou incorretos
e justificando tecnicamente cada conclusão.
Ao final dessa parte, apresente claramente qual alternativa está correta
e por quê.
Análise das alternativas
A) Explique por que a alternativa está correta ou incorreta. Apresente
o raciocínio necessário para justificar a conclusão.
B) Explique por que a alternativa está correta ou incorreta. Apresente
o raciocínio necessário para justificar a conclusão.
C) Explique por que a alternativa está correta ou incorreta. Apresente
o raciocínio necessário para justificar a conclusão.
D) Explique por que a alternativa está correta ou incorreta. Apresente
o raciocínio necessário para justificar a conclusão.
E) Explique por que a alternativa está correta ou incorreta. Apresente
o raciocínio necessário para justificar a conclusão.
REGRAS PARA A RESOLUÇÃO:
- A resolução deve ser autocontida e compreensível para alguém que
  esteja estudando o conteúdo.
- Explique os conceitos necessários para compreender a resposta.
- Não seja excessivamente breve ou superficial.
- Não apenas diga que uma alternativa está errada: explique o erro.
- Quando uma alternativa for parcialmente correta, explique exatamente
  em que ponto ela se torna incorreta.
- Quando a questão apresentar afirmações numeradas (I, II, III etc.),
  analise cada uma individualmente antes de avaliar as alternativas.
- Quando for relevante, explique por que uma alternativa pode parecer
  plausível, mas está incorreta.
- Não invente informações que não estejam presentes no enunciado ou que
  não sejam necessárias para a resolução.
- Não mencione gabarito, INEP, critérios de avaliação, confiança,
  dificuldade, ambiguidade, força dos distratores, ausência de resposta
  ou qualquer outro parâmetro de avaliação dentro da resolução.
- Não mencione que você é uma IA ou que a resposta foi gerada por um
  modelo.
- Escreva naturalmente, como um professor explicando a resolução para
  um aluno.
A resolução deve conter somente o conteúdo necessário para explicar a
questão e justificar a alternativa correta.
IMPORTANTE:
A resolução acima deve ser retornada como uma única STRING no campo
"explicacao_final". Não transforme "explicacao_final" em um objeto
JSON. As quebras de linha da resolução devem ser representadas como
"\\n" dentro da string JSON. Não inclua dentro de "explicacao_final"
nenhum dos parâmetros de avaliação utilizados para gerar os demais
campos da resposta.
==================================================
FORMATO DE SAÍDA
==================================================
Sua resposta DEVE ser exclusivamente um array JSON válido contendo
exatamente 7 elementos, nesta ordem:
[
  numero_da_questao,
  se_acertou,
  explicacao_ta_boa,
  sem_rastro_llm,
  acordo_com_inep,
  anulada_tem_explicacao,
  explicacao_final
]
Não coloque markdown.
Não coloque ```json.
Não coloque explicações antes ou depois do array.
Não coloque campos adicionais.
Use aspas duplas nas strings.
Quando anulada_tem_explicacao não se aplicar, use null sem aspas.
==================================================
DADOS DA QUESTÃO
==================================================
Número da questão:
{numero_questao}
Enunciado:
{enunciado}
Situação oficial:
{texto_situacao}
Gabarito INEP:
{texto_gabarito_inep}
Modelo que gerou a resposta avaliada (se disponível):
{texto_modelo_base}
Resposta avaliada (é esta resposta que você deve avaliar nos critérios
acima, comparando-a com o Gabarito INEP fornecido):
{texto_resposta_avaliada}
==================================================
FIM DOS DADOS
==================================================
"""</t>
  </si>
  <si>
    <t>Questão 32</t>
  </si>
  <si>
    <t>12</t>
  </si>
  <si>
    <t>QUESTÃO 32
Considere as proposições lógicas simples P, Q, R:
P: o programador lê a literatura técnica
Q: o programador conhece o idioma inglês
R: o programador será selecionado
Pretende-se demonstrar a validade ou invalidade do seguinte argumento:
Se o programador lê a literatura técnica, então ele conhece inglês.
Se o programador conhece o idioma inglês, então ele será selecionado.
O programador não será selecionado ou ele lê a literatura técnica.
Logo, o programador lê a literatura técnica se e somente se conhece o idioma inglês.
Considerando as colocações acima, avalie as afirmações a seguir.
I. As premissas do argumento podem ser expressas na forma: P → Q, Q → R e ¬R ∨ P.
A conclusão do argumento pode ser expressa na forma: P ↔ Q.
II. A validade do argumento se demonstra com os passos: ¬Q ∨ P (equivalente de uma premissa), P → R (transitividade da implicação a partir das premissas) e conclusão Q ↔ R (conjunção de duas proposições condicionais e transformação em bicondicional).
III. A validade do argumento se demonstra com os passos: R → P (equivalente de uma premissa), Q → P (transitividade da implicação), chegamos à conclusão P ↔ Q (conjunção de duas proposições condicionais e transformação em bicondicional).
IV. As premissas do argumento podem ser expressas na forma: P → Q, Q → R e ¬R → P e a conclusão do argumento acima pode ser expressa na forma: P → Q.
V. A invalidade do argumento acima se demonstra desta forma: a proposição lógica P ↔ Q é diferente das premissas P → Q, Q → R e ¬R ∨ P.
É correto apenas o que se afirma em
A) I e III.
B) II e IV.
C) I, III e V.
D) I, II, IV e V.
E) II, III, IV e V.</t>
  </si>
  <si>
    <t>Questões</t>
  </si>
  <si>
    <t>Questão 35</t>
  </si>
  <si>
    <t>QUESTÃO 35
Um prédio de 4 andares, sendo o primeiro o andar térreo, é servido por 2 elevadores. Por motivo de economia de energia, o elevador 2 só é acionado se for solicitado em mais de 2 andares. Considere um circuito proposto para habilitar o acionamento do elevador 2 conforme é mostrado a seguir. Ele utiliza um multiplexador 4x1, cuja saída é selecionada através da composição dos sinais A e B, que indicam se os andares 1 e 2 solicitaram o serviço do elevador. Assim, o valor AB=10₂ indica que o primeiro andar solicitou elevador, mas não o segundo. Os sinais C e D indicam se os andares 3 e 4 solicitaram o serviço, respectivamente.
[CIRCUITO ORIGINAL EM ANEXO]
Com base na análise do circuito proposto para o problema, avalie as seguintes asserções e a relação proposta entre elas.
I. O circuito não atende às especificações do projeto.
PORQUE
II. A entrada superior do multiplexador com valor constante 0 indica que a saída será 0 independentemente dos valores dos sinais A, B, C e D.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t>
  </si>
  <si>
    <t>Análise de complexidade de algoritmos</t>
  </si>
  <si>
    <t>Complexidade de melhor e pior caso; avaliação de polinômios</t>
  </si>
  <si>
    <t>JUSTIFICATIVA DA RESPOSTA:
A asserção I é falsa, enquanto a asserção II é verdadeira.
No Algoritmo 1, existe um laço externo que percorre i = 1 até n. Quando a[i] ≠ 0, ele calcula x^i por meio de um segundo laço que executa aproximadamente i - 1 multiplicações.
No pior caso, todos os coeficientes são diferentes de zero. Assim, o número de operações do laço interno é aproximadamente:
$$ 1 + 2 + 3 + \cdots + (n-1) = O(n^2) $$
Portanto, o Algoritmo 1 possui complexidade de pior caso O(n²).
Já no Algoritmo 2, o laço executa exatamente n iterações, independentemente dos valores dos coeficientes:
$$ T(n)=O(n) $$
Logo, os algoritmos não possuem a mesma complexidade assintótica quando se considera a complexidade usual de pior caso. Portanto, a asserção I é falsa.
Entretanto, no melhor caso do Algoritmo 1, embora muitos coeficientes possam ser zero, o coeficiente a[n] obrigatoriamente é diferente de zero. Consequentemente, quando i = n, o cálculo de x^n exige n-1 multiplicações. Além disso, o laço externo percorre todos os n valores.
Assim, o melhor caso do Algoritmo 1 é O(n).
O Algoritmo 2 sempre executa n iterações, portanto também possui O(n) no melhor caso.
Logo, a asserção II é verdadeira.
Como I é falsa e II é verdadeira, a resposta é D.</t>
  </si>
  <si>
    <t>ANÁLISE DAS ALTERNATIVAS:
A:
Incorreta. A asserção I é falsa, pois o Algoritmo 1 pode apresentar complexidade O(n²), enquanto o Algoritmo 2 é O(n).
B:
Incorreta. Novamente, a asserção I não é verdadeira. Embora II seja verdadeira, não é possível considerar as duas proposições verdadeiras.
C:
Incorreta. A asserção I é realmente falsa, mas a II é verdadeira, e não falsa.
D:
Correta. A asserção I é falsa, pois os algoritmos possuem comportamentos assintóticos diferentes no pior caso. A asserção II é verdadeira, pois ambos possuem melhor caso O(n).
E:
Incorreta. A asserção II é verdadeira: o Algoritmo 2 sempre é O(n), e o Algoritmo 1 também é O(n) no melhor caso, principalmente porque a[n] ≠ 0 garante a execução do cálculo de x^n.</t>
  </si>
  <si>
    <t>JUSTIFICATIVA DA AMBIGUIDADE:
Nível 0 — Sem ambiguidade. O enunciado fornece as condições necessárias, especialmente a informação de que a[n] é diferente de zero. Isso permite determinar claramente o melhor caso do Algoritmo 1 e comparar sua complexidade com a do Algoritmo 2.</t>
  </si>
  <si>
    <t>JUSTIFICATIVA DOS DISTRATORES:
Nível 2 — Distratores fortes. As alternativas A, B e C são plausíveis porque exploram uma possível confusão entre melhor caso e complexidade assintótica geral/pior caso. O principal ponto de atenção é perceber que ambos têm melhor caso O(n), mas isso não significa que tenham a mesma complexidade assintótica: o Algoritmo 1 pode chegar a O(n²), enquanto o Algoritmo 2 permanece O(n).</t>
  </si>
  <si>
    <t>Análise de Algoritmos</t>
  </si>
  <si>
    <t>Complexidade Assintótica e Avaliação de Polinômios (Método de Horner)</t>
  </si>
  <si>
    <t>JUSTIFICATIVA DA RESPOSTA:A análise do custo computacional de ambos os algoritmos revela o seguinte comportamento:Algoritmo 1:Pior caso: Ocorre quando todos os coeficientes $a[i]$ para $i = 1, \dots, n$ são diferentes de zero. Para cada iteração $i$ do laço externo, o laço interno executa $i - 1$ multiplicações. O número total de operações no pior caso é dado pela soma $\sum_{i=1}^{n} (i - 1) = \frac{n(n-1)}{2}$, resultando em uma complexidade assintótica de pior caso $O(n^2)$.Melhor caso: Ocorre quando $a[1] = a[2] = \dots = a[n-1] = 0.0$ e $a[n] \neq 0.0$ (já que o enunciado especifica que $a_n \neq 0$). Para $i = 1$ até $n-1$, a condição a[i] ≠ 0.0 é falsa, realizando apenas a checagem em $O(1)$. Para $i = n$, a condição é verdadeira e o laço interno executa $n - 1$ vezes. O número total de operações é $(n-1) + (n-1) \approx 2n$, resultando em uma complexidade de melhor caso $O(n)$.Algoritmo 2 (Método de Horner):O laço executa exatamente $n$ vezes, independentemente dos valores dos coeficientes $a[i]$. Em cada iteração, realiza-se 1 multiplicação e 1 adição. Portanto, tanto no pior caso quanto no melhor caso, a complexidade assintótica é $\Theta(n) = O(n)$.Diante disso:Asserção I é FALSA: Os algoritmos não possuem a mesma complexidade assintótica geral (no pior caso, o Algoritmo 1 é $O(n^2)$ enquanto o Algoritmo 2 é $O(n)$).Asserção II é VERDADEIRA: No melhor caso, ambos os algoritmos possuem complexidade $O(n)$.Portanto, a opção correta é a D.</t>
  </si>
  <si>
    <t>ANÁLISE DAS ALTERNATIVAS:A: Incorreta. A asserção I é falsa, pois o Algoritmo 1 possui complexidade $O(n^2)$ no pior caso, enquanto o Algoritmo 2 possui complexidade $O(n)$. Logo, a asserção II não justifica a I.B: Incorreta. A asserção I é falsa, embora a asserção II seja verdadeira.C: Incorreta. A asserção I é falsa e a asserção II é verdadeira (e não o inverso).D: Correta. A asserção I é uma proposição falsa, pois as complexidades de pior caso diferem ($O(n^2)$ vs $O(n)$), e a asserção II é uma proposição verdadeira, pois no melhor caso ambos os algoritmos executam em tempo proporcional a $n$, ou seja, $O(n)$.E: Incorreta. A asserção II é verdadeira, portanto não são ambas falsas.</t>
  </si>
  <si>
    <t>Resposta-base</t>
  </si>
  <si>
    <t>JUSTIFICATIVA DA AMBIGUIDADE:
Atribuído nível 0 (sem ambiguidade). O enunciado define claramente as regras de execução dos laços e o comportamento dos coeficientes ($a_n \neq 0$), permitindo determinar rigorosamente as complexidades assintóticas de pior e melhor caso de ambos os algoritmos.</t>
  </si>
  <si>
    <t>JUSTIFICATIVA DOS DISTRATORES:
Atribuído nível 1 (distratores moderados). A alternativa C é um distrator plausível caso o candidato não analise adequadamente o teste do Se a[i] ≠ 0.0 no Algoritmo 1 e conclua equivocadamente que a presença do elemento $a_n \neq 0$ forçaria o melhor caso a ser $O(n^2)$. As alternativas A e B atraem candidatos que confundem a complexidade do melhor caso com a complexidade assintótica geral do algoritmo.</t>
  </si>
  <si>
    <t>Modelo(s)-base</t>
  </si>
  <si>
    <t>Gabarito comentado final</t>
  </si>
  <si>
    <t>14</t>
  </si>
  <si>
    <t>Complexidade assintótica (notação O) — avaliação de polinômios (método ingênuo vs. método de Horner)</t>
  </si>
  <si>
    <t>JUSTIFICATIVA DA RESPOSTA:
O Algoritmo 1 possui um laço externo que percorre i de 1 até n e, condicionalmente (quando a[i] ≠ 0), executa um laço interno que roda (i−1) vezes para calcular x^i por multiplicações sucessivas. No pior caso, quando todos os coeficientes são não nulos, o custo total é a soma das iterações internas: Σ(i−1) para i=1 até n, que é da ordem de n²/2, ou seja, complexidade O(n²). Já o Algoritmo 2 implementa o método de Horner, cujo laço executa exatamente n iterações, sem nenhuma dependência do valor dos coeficientes (não há desvios condicionais baseados em dado), de modo que seu custo é sempre Θ(n), em qualquer caso (melhor, médio ou pior). Assim, a asserção I é falsa, pois os algoritmos não possuem a mesma complexidade assintótica (um é O(n²) no pior caso, o outro é sempre O(n)).
Quanto à asserção II, no melhor caso do Algoritmo 1 (situação em que apenas a[n] é não nulo — os demais podem ser zero, já que apenas aₙ é obrigatoriamente não nulo), o laço interno só é executado uma única vez, para i=n, custando (n−1) multiplicações; somado ao custo fixo do laço externo (n iterações), o total é da ordem de 2n, ou seja, O(n). O Algoritmo 2, como não possui desvios condicionais, tem sempre custo O(n), inclusive no melhor caso. Logo, a asserção II é verdadeira: para o melhor caso, ambos os algoritmos são O(n).
Portanto, I é falsa e II é verdadeira, o que corresponde à alternativa D.</t>
  </si>
  <si>
    <t>ANÁLISE DAS ALTERNATIVAS:
A:
Incorreta. Afirma que I e II são verdadeiras e que II justifica I, mas I é falsa (os algoritmos diferem no pior caso: O(n²) versus O(n)).
B:
Incorreta. Também assume I verdadeira, o que não procede pela mesma razão acima.
C:
Incorreta. Inverte a situação real: afirma que I é verdadeira e II é falsa, quando na verdade é o oposto (I falsa, II verdadeira).
D:
Correta. I é falsa, pois o Algoritmo 1 tem complexidade O(n²) no pior caso (coeficientes intermediários todos não nulos), enquanto o Algoritmo 2 (Horner) é sempre O(n), independentemente dos coeficientes. II é verdadeira, pois no melhor caso do Algoritmo 1 (apenas aₙ não nulo) o custo cai para O(n), coincidindo com o comportamento constante O(n) do Algoritmo 2.
E:
Incorreta. Afirma que ambas as asserções são falsas, mas II é verdadeira, como demonstrado.</t>
  </si>
  <si>
    <t>JUSTIFICATIVA DA AMBIGUIDADE:
O enunciado define claramente os dois algoritmos, a estrutura dos laços e a única restrição sobre os coeficientes (aₙ ≠ 0). Não há termos vagos nem múltiplas interpretações plausíveis sobre o funcionamento dos algoritmos ou sobre o que se pede (comparação de complexidade assintótica geral e no melhor caso). Por isso, atribuo nível 0.</t>
  </si>
  <si>
    <t>JUSTIFICATIVA DOS DISTRATORES:
As alternativas A e B são distratores fortes, pois dependem de uma leitura apressada que ignora a diferença entre pior caso e melhor caso: um estudante que analise apenas o melhor caso (onde ambos são O(n)) pode concluir erroneamente que os algoritmos têm sempre a mesma complexidade assintótica, levando-o a marcar I como verdadeira. Isso exige análise cuidadosa (separar pior caso de melhor caso) para ser corretamente descartado, caracterizando distratores conceitualmente próximos da resposta correta. Por isso, atribuo nível 2.</t>
  </si>
  <si>
    <t>15</t>
  </si>
  <si>
    <t>B</t>
  </si>
  <si>
    <t>Lógica de Predicados</t>
  </si>
  <si>
    <t>Quantificadores universal e existencial; validade e contraexemplo</t>
  </si>
  <si>
    <t>16</t>
  </si>
  <si>
    <t>JUSTIFICATIVA DA RESPOSTA:
A alternativa correta é B) III, apenas.
Para analisar cada afirmação, é necessário verificar se a fórmula é verdadeira para todos os elementos do domínio indicado.
I.
$$ (\forall x \in N)(\exists y \in U)(x&lt;y) $$
O conjunto \(U=\{10,20,30,40\}\) possui um maior elemento, que é 40. Como os números naturais são ilimitados, podemos escolher, por exemplo, \(x=50\). Nesse caso, não existe nenhum \(y\in U\) tal que \(50&lt;y\).
Logo, a afirmação I é falsa.
II.
$$ (\forall x\in N)(\exists y\in N)(y&lt;x) $$
Essa afirmação exige que, para todo número natural \(x\), exista um número natural menor que ele.
Se \(0\in N\), basta tomar \(x=0\): não existe natural \(y\) tal que \(y&lt;0\).
Mesmo adotando a convenção \(N=\{1,2,3,\ldots\}\), tomando \(x=1\), não existe natural positivo menor que 1.
Portanto, a afirmação II é falsa, independentemente da convenção usual adotada para o início dos naturais.
III.
$$ (\forall x\in U)(\exists y\in U)(x&gt;y) $$
A afirmação diz que para cada elemento de \(U\) deve existir outro elemento de \(U\) menor que ele.
Para \(x=10\), não existe nenhum \(y\in U\) tal que \(10&gt;y\), pois 10 é o menor elemento de \(U\).
Assim, \(x=10\) é realmente um contraexemplo, tornando a proposição universal inválida.
Logo, III é verdadeira.
Portanto, somente a afirmação III está correta.</t>
  </si>
  <si>
    <t>ANÁLISE DAS ALTERNATIVAS:
A:
Incorreta. A afirmação I é falsa, pois os naturais não são limitados superiormente por 40. Por exemplo, \(x=50\) não possui \(y\in U\) com \(50&lt;y\).
B:
Correta. A afirmação III é verdadeira: \(x=10\) é um contraexemplo para a proposição universal, pois não há elemento de \(U\) menor que 10.
C:
Incorreta. A afirmação I é falsa e a II também é falsa. Portanto, não é possível que I e II sejam as únicas afirmações verdadeiras.
D:
Incorreta. Embora III seja verdadeira, II é falsa, pois existe um menor elemento no conjunto dos naturais considerados.
E:
Incorreta. I e II são falsas; somente III é verdadeira.</t>
  </si>
  <si>
    <t>JUSTIFICATIVA DA AMBIGUIDADE:
0 = Sem ambiguidade. O enunciado fornece os conjuntos e os quantificadores necessários. Mesmo que haja diferentes convenções sobre se \(0\) pertence a \(N\), isso não altera a falsidade da afirmação II: em qualquer convenção usual, existe um menor natural que não possui outro natural abaixo dele.</t>
  </si>
  <si>
    <t>JUSTIFICATIVA DOS DISTRATORES:
1 = Distratores moderados. A alternativa D pode parecer plausível para quem identifica corretamente o contraexemplo da III, mas não percebe que a II exige a existência de um natural menor para todo \(x\). A alternativa A também pode atrair quem interpreta incorretamente a existência de algum elemento de \(U\) como suficiente para satisfazer o quantificador universal sobre \(x\).</t>
  </si>
  <si>
    <t>19</t>
  </si>
  <si>
    <t>Quantificadores Lógicos e Validade de Sentenças em Domínios Finitos e Infinitos</t>
  </si>
  <si>
    <t>22</t>
  </si>
  <si>
    <t>JUSTIFICATIVA DA RESPOSTA:Apenas a afirmação III é verdadeira.Afirmação I: A sentença estabelece que para todo número natural $x$, existe um $y \in U = \{10, 20, 30, 40\}$ tal que $x &lt; y$. Para qualquer $x \ge 40$ (por exemplo, $x = 50 \in \mathbb{N}$), não existe nenhum elemento $y \in U$ que satisfaça $50 &lt; y$, pois o valor máximo de $U$ é $40$. Logo, a sentença não é válida.Afirmação II: A sentença estabelece que para todo $x \in \mathbb{N}$, existe um $y \in \mathbb{N}$ tal que $y &lt; x$. Tomando o menor elemento de $\mathbb{N}$ (seja $0$ na convenção com zero ou $1$ na convenção sem zero), não existe número natural estritamente menor do que ele. Logo, a sentença não é válida.Afirmação III: A sentença declara que para todo $x \in U$, existe $y \in U$ tal que $x &gt; y$. Ao testar $x = 10 \in U$, observa-se que nenhum elemento de $U$ ($10, 20, 30, 40$) é menor que $10$. Como a propriedade falha para $x = 10$, este elemento atua como contraexemplo e torna a proposição $H$ inválida (falsa), tornando a afirmação III correta.</t>
  </si>
  <si>
    <t>ANÁLISE DAS ALTERNATIVAS:A:Incorreta. A afirmação I é falsa, pois a proposição falha para valores de $x \in \mathbb{N}$ maiores ou iguais a $40$.B:Correta. Apenas a afirmação III é verdadeira, visto que $x = 10$ prova que a proposição universal $H$ é falsa para o universo $U$.C:Incorreta. Ambas as afirmações I e II são falsas, pois possuem contraexemplos nos conjuntos dados.D:Incorreta. A afirmação II é falsa, pois o elemento mínimo de $\mathbb{N}$ não possui antecessor no próprio conjunto $\mathbb{N}$.E:Incorreta. Como as afirmações I e II são falsas, não é correto o que se afirma em todas as opções.</t>
  </si>
  <si>
    <t>JUSTIFICATIVA DA AMBIGUIDADE:Atribuiu-se nível 0 (Sem ambiguidade) porque o enunciado e as alternativas definem perfeitamente os conjuntos $U$ e $\mathbb{N}$, assim como as regras formais da lógica de quantificadores, permitindo identificar diretamente a veracidade das afirmações sem margem para dupla interpretação.</t>
  </si>
  <si>
    <t>JUSTIFICATIVA DOS DISTRATORES:
Atribuiu-se nível 1 (Distratores moderados). A alternativa D pode atuar como distrator para quem desconsidera a existência do elemento mínimo no conjunto dos números naturais ao avaliar a afirmação II, imaginando equivocadamente que todo natural possui um menor do que ele.</t>
  </si>
  <si>
    <t>C</t>
  </si>
  <si>
    <t>23</t>
  </si>
  <si>
    <t>A</t>
  </si>
  <si>
    <t>27</t>
  </si>
  <si>
    <t>E</t>
  </si>
  <si>
    <t>Quantificadores universal e existencial — validade de fórmulas</t>
  </si>
  <si>
    <t>28</t>
  </si>
  <si>
    <t>JUSTIFICATIVA DA RESPOSTA:
Analisando cada fórmula quanto à sua validade (verdade) nos domínios especificados:
I. (∀x∈N)(∃y∈U)(x&lt;y): afirma que para todo natural x existe um elemento de U={10,20,30,40} maior que x. Como N é ilimitado superiormente e U é finito (máximo 40), basta tomar x=41 (ou qualquer x≥40) para que não exista y∈U com x&lt;y. Logo, a fórmula é FALSA (inválida). A afirmação I diz que H "é válida" — portanto a afirmação I é INCORRETA.
II. (∀x∈N)(∃y∈N)(y&lt;x): afirma que para todo natural x existe um natural y menor que x. Tomando o menor elemento de N (seja 0 ou 1, dependendo da convenção), não existe natural menor que ele. Logo a fórmula é FALSA (inválida) independentemente da convenção adotada. A afirmação II diz que H "é válida" — portanto a afirmação II é INCORRETA.
III. (∀x∈U)(∃y∈U)(x&gt;y): afirma que para todo x∈U existe y∈U menor que x. Como U={10,20,30,40}, para x=10 (o menor elemento) não existe y∈U com 10&gt;y. Logo a fórmula é FALSA (inválida), e x=10 é de fato um contraexemplo válido. A afirmação III descreve corretamente esse fato — portanto a afirmação III é CORRETA.
Assim, apenas a afirmação III está correta, o que leva à alternativa B.</t>
  </si>
  <si>
    <t>30</t>
  </si>
  <si>
    <t>ANÁLISE DAS ALTERNATIVAS:
A:
Incorreta. Afirma que apenas I é correta, mas I foi demonstrada como uma afirmação falsa (a fórmula H em I não é válida).
B:
Correta. Apenas a afirmação III está correta, conforme demonstrado: a fórmula de III é de fato inválida e x=10 é um contraexemplo legítimo.
C:
Incorreta. Afirma que I e II são corretas, mas ambas descrevem fórmulas que na verdade são inválidas (falsas), não válidas como as afirmações sustentam.
D:
Incorreta. Inclui II como correta, mas a fórmula de II é inválida, não válida; a afirmação II está, portanto, equivocada.
E:
Incorreta. Inclui I, II e III como corretas, mas I e II são afirmações falsas quanto à validade das respectivas fórmulas.</t>
  </si>
  <si>
    <t>JUSTIFICATIVA DA AMBIGUIDADE:
Atribuí nível 1 (ambiguidade menor) porque a questão não deixa explícito se o conjunto N dos naturais inclui o zero. Essa é uma convenção que varia por autor. No entanto, essa indefinição não altera a resposta final, pois em ambas as convenções (0∈N ou 0∉N) a fórmula II permanece inválida, já que sempre há um "primeiro" elemento em N sem antecessor em N. Assim, a ambiguidade existe no texto, mas não compromete a determinação da alternativa correta.</t>
  </si>
  <si>
    <t>JUSTIFICATIVA DOS DISTRATORES:
Atribuí nível 2 (distratores fortes) porque as alternativas C, D e E exigem que o candidato analise cuidadosamente cada uma das três fórmulas lógicas de forma independente, sendo fácil confundir a validade de I (que parece "razoável" à primeira vista, pois todo natural pequeno é menor que algum elemento de U, mas falha para naturais grandes) com sua invalidade real. A alternativa D é particularmente tentadora, pois há uma tendência intuitiva de achar que II poderia ser válida sob alguma leitura apressada. Esses distratores exigem raciocínio cuidadoso sobre os quantificadores e os domínios envolvidos, não sendo descartáveis por eliminação superficial.</t>
  </si>
  <si>
    <t>32</t>
  </si>
  <si>
    <t>35</t>
  </si>
  <si>
    <t>Teoria da Computação</t>
  </si>
  <si>
    <t>Expressões regulares, linguagens regulares e autômatos finitos</t>
  </si>
  <si>
    <t>JUSTIFICATIVA DA RESPOSTA:
Temos:
\(R1 = a(a \cup b)^*\): representa todas as palavras sobre \(\{a,b\}\) que começam com a.
\(R2 = b(a \cup b)^*\): representa todas as palavras sobre \(\{a,b\}\) que começam com b.
Logo,
$$ L(R1)\cup L(R2) $$
é o conjunto de todas as palavras não vazias sobre o alfabeto \(\{a,b\}\), pois toda palavra não vazia começa necessariamente com a ou com b.
Como \(L(R1)\) e \(L(R2)\) são linguagens regulares, sua união também é regular. Portanto, existe um autômato finito determinístico (AFD) que reconhece \(L(R1)\cup L(R2)\).
Assim, a alternativa C está correta.</t>
  </si>
  <si>
    <t>ANÁLISE DAS ALTERNATIVAS:
A:
Incorreta. \(L(R1)\) contém as palavras que começam com a, enquanto \(L(R2)\) contém as palavras que começam com b. Por exemplo:
$$ a \in L(R1) $$
mas
$$ a \notin L(R2). $$
Portanto, as linguagens não são iguais.
B:
Incorreta. \(R2=b(a\cup b)^*\) exige que a palavra comece com b, e não que termine com b. Por exemplo, ba pertence a \(L(R2)\), embora termine com a.
C:
Correta. A união de duas linguagens regulares é regular. Como \(L(R1)\) e \(L(R2)\) são linguagens regulares, \(L(R1)\cup L(R2)\) também é regular. Toda linguagem regular pode ser reconhecida por um AFD.
D:
Incorreta. As linguagens \(L(R1)\) e \(L(R2)\) são disjuntas, pois uma palavra não pode começar simultaneamente com a e b. Portanto:
$$ L(R1)\cap L(R2)=\varnothing. $$
Consequentemente, se \(L(R3)=L(R1)\cap L(R2)\), então:
$$ L(R3)=\varnothing, $$
que é uma linguagem finita, com zero palavras, e não infinita.
E:
Incorreta. Não é necessário que um AFN para \(L(R1)\cup L(R2)\) tenha pelo menos quatro estados. É possível construir um AFN muito menor. Inclusive, um AFD para essa linguagem pode ser construído com apenas dois estados: um estado inicial e um estado de aceitação para qualquer palavra não vazia.</t>
  </si>
  <si>
    <t>JUSTIFICATIVA DA AMBIGUIDADE:
0. O enunciado fornece definições suficientes e as alternativas podem ser avaliadas diretamente pelas propriedades das expressões regulares e das linguagens regulares. Há uma única alternativa claramente correta.</t>
  </si>
  <si>
    <t>JUSTIFICATIVA DOS DISTRATORES:
Os distratores são moderados. As alternativas A e B podem confundir quem não diferencia o primeiro símbolo do último. A alternativa D exige perceber que as linguagens são disjuntas. A alternativa E explora uma possível confusão sobre o número mínimo de estados necessário para construir um autômato. Entretanto, nenhuma delas permanece plausível após a análise conceitual.</t>
  </si>
  <si>
    <t>Linguagens Regulares e Autômatos Finitos</t>
  </si>
  <si>
    <t>JUSTIFICATIVA DA RESPOSTA:A expressão regular $R_1 = a(a \cup b)^*$ gera o conjunto de todas as cadeias não vazias sobre o alfabeto $\{a, b\}$ que iniciam com o símbolo 'a'. A expressão regular $R_2 = b(a \cup b)^*$ gera todas as cadeias não vazias que iniciam com 'b'.A união $L(R_1) \cup L(R_2)$ representa a linguagem $\{a, b\}^+$, ou seja, todas as cadeias não vazias formadas pelos símbolos 'a' e 'b'.Como a classe das linguagens regulares é fechada sob a operação de união, a linguagem resultante $L(R_1) \cup L(R_2)$ é regular. Por definição, toda linguagem regular é aceita por pelo menos um Autômato Finito Determinístico (AFD). Portanto, a afirmação C é estritamente verdadeira.</t>
  </si>
  <si>
    <t>ANÁLISE DAS ALTERNATIVAS:A: Incorreta. $L(R_1)$ é composta por cadeias iniciadas por 'a', ao passo que $L(R_2)$ é composta por cadeias iniciadas por 'b'. Tratam-se de conjuntos disjuntos, logo $L(R_1) \neq L(R_2)$.B: Incorreta. $L(R_2)$ exige apenas que a cadeia comece com 'b'. A cadeia "ba", por exemplo, pertence a $L(R_2)$, mas termina com 'a'.C: Correta. A união de duas linguagens regulares é uma linguagem regular, e qualquer linguagem regular possui um autômato finito determinístico equivalente que a reconhece.D: Incorreta. Não existe nenhuma cadeia que comece simultaneamente com 'a' e com 'b'. Portanto, a interseção $L(R_1) \cap L(R_2)$ é o conjunto vazio ($\emptyset$), que é uma linguagem finita (de cardinalidade zero).E: Incorreta. A linguagem $L(R_1) \cup L(R_2) = \{a, b\}^+$ pode ser reconhecida por um AFD (e, consequentemente, por um AFN) de apenas 2 estados: um estado inicial não aceito $q_0$ e um estado de aceitação $q_1$, com transições de $q_0$ para $q_1$ com 'a' ou 'b', e laços em $q_1$ para 'a' e 'b'. Logo, não são necessários no mínimo quatro estados.</t>
  </si>
  <si>
    <t>JUSTIFICATIVA DA AMBIGUIDADE:
Atribuiu-se nível 0 (sem ambiguidade) porque as expressões regulares e as opções estão formal e matematicamente bem definidas, permitindo a identificação direta de uma única alternativa correta.</t>
  </si>
  <si>
    <t>JUSTIFICATIVA DOS DISTRATORES:
Atribuiu-se nível 1 (distratores moderados). A alternativa E atua como um distrator razoável para quem associa o número de estados diretamente ao método de construção estrutural sem minimização (como a construção de Thompson), e a alternativa D explora a propriedade de interseção entre linguagens regulares infinitas, mas ambas são descartáveis mediante análise conceitual direta.</t>
  </si>
  <si>
    <t>JUSTIFICATIVA DA RESPOSTA:
L(R1) é o conjunto de todas as cadeias sobre {a,b} que começam com "a" (incluindo a própria cadeia "a"), e L(R2) é o conjunto de todas as cadeias que começam com "b". Logo L(R1) ∪ L(R2) é o conjunto de todas as cadeias não vazias sobre {a,b}, já que toda cadeia não vazia começa ou com "a" ou com "b". Essa linguagem é regular (é denotada, por exemplo, pela expressão (a∪b)(a∪b)*), e toda linguagem regular é reconhecida por algum autômato finito determinístico (AFD), pelo teorema de equivalência entre expressões regulares e autômatos finitos (Kleene). Portanto, a afirmação de que existe um AFD cuja linguagem é L(R1) ∪ L(R2) é verdadeira.</t>
  </si>
  <si>
    <t>ANÁLISE DAS ALTERNATIVAS:
A:
Incorreta. L(R1) é o conjunto de cadeias que começam com "a" e L(R2) é o conjunto de cadeias que começam com "b". Essas linguagens são disjuntas e não vazias, logo L(R1) ≠ L(R2) (por exemplo, "a" ∈ L(R1) mas "a" ∉ L(R2)).
B:
Incorreta. R2 = b(a∪b)* gera cadeias que começam com "b", não que terminam com "b". Por exemplo, "ba" ∈ L(R2), mas "ba" termina com "a", não com "b". A afirmação descreve incorretamente a linguagem, confundindo início com término.
C:
Correta. Conforme justificado acima, L(R1) ∪ L(R2) é o conjunto de todas as cadeias não vazias sobre {a,b}, uma linguagem regular, e toda linguagem regular admite um AFD que a reconhece (equivalência entre expressões regulares, AFNs e AFDs).
D:
Incorreta. L(R1) ∩ L(R2) é vazia, pois nenhuma cadeia pode começar simultaneamente com "a" e com "b" (o primeiro símbolo de uma cadeia é único). Assim, qualquer expressão regular R3 com L(R3) = L(R1) ∩ L(R2) denota a linguagem vazia, que é finita (tem zero elementos), não infinita.
E:
Incorreta. É possível construir um AFN (na verdade, até um AFD) com apenas 2 estados que reconheça L(R1) ∪ L(R2) = todas as cadeias não vazias sobre {a,b}: um estado inicial não final, que ao ler "a" ou "b" transita para um estado final que possui laços (self-loops) em "a" e "b". Isso reconhece exatamente as cadeias não vazias com apenas 2 estados, contradizendo a afirmação de que são necessários pelo menos quatro estados.</t>
  </si>
  <si>
    <t>JUSTIFICATIVA DA AMBIGUIDADE:
O enunciado e as alternativas são claros e não apresentam múltiplas interpretações plausíveis. As definições de R1 e R2 são precisas, e cada alternativa pode ser avaliada objetivamente com base na teoria de linguagens regulares.</t>
  </si>
  <si>
    <t>JUSTIFICATIVA DOS DISTRATORES:
A alternativa B é um distrator moderadamente forte, pois exige que o candidato distinga corretamente entre "cadeias que começam com b" (correto) e "cadeias que terminam com b" (incorreto), um erro conceitual comum ao interpretar expressões regulares como b(a∪b)*. A alternativa E também exige raciocínio sobre construção mínima de autômatos, podendo induzir a erro quem superestima o número de estados necessário. As alternativas A e D são mais facilmente descartáveis com conhecimento básico de interseção e igualdade de linguagens.</t>
  </si>
  <si>
    <t>Estruturas de dados</t>
  </si>
  <si>
    <t>Pilha, complexidade de operações e gerenciamento de memória em C</t>
  </si>
  <si>
    <t>JUSTIFICATIVA DA RESPOSTA:
A alternativa correta é C) I e II, apenas.
A afirmação I é verdadeira, pois tanto push quanto pop realizam uma quantidade constante de operações sobre o vetor. O acesso ao topo e a inserção/remoção de um elemento são feitos diretamente, sem depender da quantidade de elementos armazenados. Portanto, ambas possuem complexidade O(1).
A afirmação II também é verdadeira. Após as operações anteriores, temos:
push(2) → [2]
push(3) → [2, 3]
push(4) → [2, 3, 4]
pop() remove 4 → [2, 3]
push(2) → [2, 3, 2]
pop() retorna 2
pop() retorna 3
Logo, a = 2 + 3 = 5
push(p, 5) → [2, 5]
a += pop(p) → a = 5 + 5 = 10
Se a última instrução fosse a += a, teríamos igualmente a = 5 + 5 = 10. Portanto, o valor exibido continuaria sendo 10.
A afirmação III é falsa. Embora elementos[100] seja um vetor declarado diretamente dentro da estrutura, a própria estrutura pilha é criada dinamicamente com malloc:
pilha * p = malloc(sizeof(pilha));
Assim, a memória ocupada pela estrutura, incluindo o vetor elementos, pertence ao bloco alocado dinamicamente e deve ser liberada com free(p) para evitar vazamento de memória.</t>
  </si>
  <si>
    <t>ANÁLISE DAS ALTERNATIVAS:
A:
Incorreta. A afirmação I é verdadeira, mas a II também é verdadeira. Portanto, não é correto afirmar que somente I está correta.
B:
Incorreta. A afirmação III é falsa, pois p foi alocado dinamicamente com malloc e deve ser liberado com free(p).
C:
Correta. As afirmações I e II são verdadeiras, enquanto III é falsa.
D:
Incorreta. A afirmação II é verdadeira, mas III é falsa.
E:
Incorreta. A afirmação III é falsa, portanto as três afirmações não podem estar corretas.</t>
  </si>
  <si>
    <t>JUSTIFICATIVA DA AMBIGUIDADE:
Atribuo nível 1 porque existe um problema literal no código fornecido em cria_pilha():
return pilha;
O correto, considerando a intenção evidente da função, seria:
return p;
pilha é o nome do tipo definido pelo typedef, e não o ponteiro que foi alocado. Portanto, estritamente como escrito, o código apresenta um erro e não poderia ser executado normalmente. Entretanto, o contexto deixa bastante clara a intenção de retornar p, permitindo resolver a questão considerando essa correção evidente. Por isso, trata-se de uma ambiguidade menor, e não relevante.</t>
  </si>
  <si>
    <t>JUSTIFICATIVA DOS DISTRATORES:
Atribuo nível 2, pois há distratores conceitualmente plausíveis.
O principal distrator é a III, que pode parecer verdadeira porque elementos[100] não é individualmente alocado com malloc; porém, o vetor faz parte da estrutura que foi alocada dinamicamente. Assim, free(p) libera também a memória ocupada pelo vetor.
A alternativa E também pode parecer plausível para quem identifica corretamente I e II, mas interpreta equivocadamente o armazenamento do vetor como sendo estático no sentido de não pertencer à memória dinâmica.</t>
  </si>
  <si>
    <t>Estruturas de Dados</t>
  </si>
  <si>
    <t>Pilhas, Complexidade de Algoritmos e Gerenciamento de Memória em C</t>
  </si>
  <si>
    <t>JUSTIFICATIVA DA RESPOSTA:Afirmativa I (Correta): As funções push e pop realizam apenas operações elementares de verificação, acesso direto a vetor por índice e incremento/decremento de uma variável inteira (topo). Por não possuírem laços de repetição ou dependência do tamanho do vetor, ambas operam em tempo constante, ou seja, $O(1)$.Afirmativa II (Correta): Rastreando a execução da função main:push(2), push(3), push(4) $\rightarrow$ Pilha: [2, 3, 4]pop() remove 4 $\rightarrow$ Pilha: [2, 3]push(2) $\rightarrow$ Pilha: [2, 3, 2]a = pop() + pop() desempilha 2 e 3. Logo, a = 2 + 3 = 5 $\rightarrow$ Pilha: [2]push(p, a) insere 5 na pilha $\rightarrow$ Pilha: [2, 5]Com a instrução original a += pop(p);, o topo (5) é desempilhado e somado a a (5), resultando em a = 10.Se a instrução for trocada por a += a;, como a vale 5, o resultado será $5 + 5 = 10$.Em ambos os casos, o valor exibido por printf é 10.Afirmativa III (Incorreta): A ponteiro p guarda o endereço de um bloco de memória alocado dinamicamente na heap por meio da função malloc. Mesmo que o arranjo elementos possua tamanho fixo contido no tipo pilha, a estrutura inteira foi alocada dinamicamente. Portanto, não liberar a memória com free(p) causará vazamento de memória (memory leak).</t>
  </si>
  <si>
    <t>ANÁLISE DAS ALTERNATIVAS:
A:
Incorreta. A afirmativa I está correta, porém a afirmativa II também é verdadeira.
B:
Incorreta. A afirmativa III é falsa, pois o uso de free(p) é necessário para desalocar a estrutura alocada via malloc.
C:
Correta. Identifica adequadamente que apenas as afirmativas I e II são verdadeiras.
D:
Incorreta. A afirmativa III é falsa e a afirmativa I foi omitida.
E:
Incorreta. Inclui a afirmativa III, que é conceitualmente incorreta quanto à gestão de memória em C.</t>
  </si>
  <si>
    <t>JUSTIFICATIVA DA AMBIGUIDADE:
Atribuiu-se nível 1 devido ao erro de sintaxe na linha final da função cria_pilha(), na qual consta return pilha; em vez de return p;. Embora o código não compile estritamente sem essa correção, a intenção algorítmica é perfeitamente compreensível e não impede a avaliação lógica das afirmativas I, II e III.</t>
  </si>
  <si>
    <t>JUSTIFICATIVA DOS DISTRATORES:
Atribuiu-se nível 1 pois as alternativas E e D atuam como distratores plausíveis para examinandos que confundem a declaração estática de um membro do tipo vetor (int elementos[100]) dentro de uma struct com a alocação da própria estrutura, que foi feita no heap com malloc.</t>
  </si>
  <si>
    <t>Pilhas (Stack) e complexidade computacional em C</t>
  </si>
  <si>
    <t>JUSTIFICATIVA DA RESPOSTA:
Simulando a pilha: push(2)→[2]; push(3)→[2,3]; push(4)→[2,3,4]; pop()→remove 4, pilha=[2,3]; push(2)→[2,3,2]; a = pop()+pop() → primeiro pop remove 2 (topo), segundo pop remove 3, logo a = 2+3 = 5, pilha=[2]; push(a) → push(5), pilha=[2,5]; a += pop(p) → pop remove o 5 recém-empilhado, então a = 5+5 = 10. Como o valor empilhado imediatamente antes (5) é idêntico ao valor de "a" naquele momento, substituir "a += pop(p)" por "a += a" produz o mesmo resultado (10), confirmando II. As operações push e pop, como implementadas, realizam apenas acesso e atualização de índice em tempo constante, confirmando I. Quanto a III, o ponteiro "p" (a struct inteira, incluindo o vetor embutido nela) foi alocado dinamicamente via malloc; não chamar free(p) causa vazamento de memória, tornando a afirmação III falsa. Assim, apenas I e II são corretas — alternativa C.</t>
  </si>
  <si>
    <t>ANÁLISE DAS ALTERNATIVAS:
A:
Incorreta. Considera apenas I, mas II também é verdadeira, conforme demonstrado pela simulação.
B:
Incorreta. III é falsa, pois a struct pilha foi alocada dinamicamente com malloc; o vetor "elementos" está embutido nessa struct alocada no heap, não sendo "estático". Não chamar free(p) gera vazamento de memória.
C:
Correta. I é verdadeira (push e pop são O(1), pois realizam apenas operações de acesso/atualização de índice e comparação, sem laços ou recursão). II é verdadeira, pois o valor obtido por pop(p) na linha final é exatamente o mesmo valor de "a" naquele ponto da execução (ambos valem 5), tornando "a += pop(p)" equivalente a "a += a" nesse caso específico.
D:
Incorreta. III é falsa pelos motivos expostos, embora II esteja correta.
E:
Incorreta. Inclui III, que é falsa.</t>
  </si>
  <si>
    <t>JUSTIFICATIVA DA AMBIGUIDADE:
Atribuí nível 1 porque há um pequeno problema no código-fonte apresentado ("return pilha;" em vez de "return p;"), o que tecnicamente impediria a compilação. Presume-se que se trata de um erro de digitação no enunciado e que a intenção é "return p;", pois do contrário a questão não faria sentido. Fora esse detalhe, o enunciado e as alternativas são suficientes para uma resolução determinística.</t>
  </si>
  <si>
    <t>JUSTIFICATIVA DOS DISTRATORES:
Atribuí nível 2 porque a afirmação II exige simulação cuidadosa e minuciosa da pilha para perceber a coincidência de que o valor lido por pop(p) na última operação é idêntico ao valor atual de "a" — um distrator sutil, já que a igualdade não é óbvia à primeira vista e poderia levar a julgar II como falsa por engano. A afirmação III também é um distrator plausível, pois mistura corretamente o conceito de alocação estática do vetor interno com a alocação dinâmica da struct que o contém, exigindo do candidato a distinção precisa entre "o vetor é um array de tamanho fixo dentro da struct" e "a struct como um todo foi alocada dinamicamente via malloc".</t>
  </si>
  <si>
    <t>Computação gráfica</t>
  </si>
  <si>
    <t>Traçado de raios (ray tracing) e geração de imagens realistas</t>
  </si>
  <si>
    <t>JUSTIFICATIVA DA RESPOSTA:
A técnica de traçado de raios (ray tracing) simula o comportamento da luz ao interagir com objetos, considerando fenômenos como reflexão, refração, transparência, sombras e iluminação. Ela é especialmente adequada para produzir imagens sintéticas com aparência realista.
A Imagem 1 apresenta uma cena composta por objetos tridimensionais, como taças, garrafas e copos, com características visuais típicas de uma renderização por ray tracing: reflexos, transparência, refração da luz e sombras. Esses efeitos são justamente elementos que o traçado de raios consegue simular de forma realista.
Já as Imagens 2 e 3 apresentam fenômenos e elementos naturais com aparência fotográfica: um raio e um tigre. A aparência dessas imagens não fornece indicação de que tenham sido geradas por uma técnica de computação gráfica como ray tracing.
Portanto, dentre as imagens apresentadas, a técnica de traçado de raios foi utilizada apenas para a geração da Imagem 1.</t>
  </si>
  <si>
    <t>ANÁLISE DAS ALTERNATIVAS:
A:
Correta. A Imagem 1 apresenta uma cena tridimensional com objetos transparentes e reflexivos, iluminação e sombras, características compatíveis com uma imagem gerada por ray tracing.
B:
Incorreta. A Imagem 2 representa um raio. A imagem possui aparência de registro fotográfico/ilustração de um fenômeno natural, não apresentando os elementos característicos de uma cena 3D renderizada por ray tracing.
C:
Incorreta. Embora a Imagem 1 seja compatível com ray tracing, a Imagem 3 apresenta um tigre em um ambiente natural, com aparência fotográfica, não sendo indicada como uma renderização por ray tracing.
D:
Incorreta. A Imagem 2 não apresenta características suficientes para classificá-la como uma imagem gerada por ray tracing, e a Imagem 3 também possui aparência fotográfica.
E:
Incorreta. Não há indicação de que as três imagens tenham sido produzidas por ray tracing. A característica que distingue a Imagem 1 é justamente a presença de objetos tridimensionais com propriedades ópticas simuladas.</t>
  </si>
  <si>
    <t>JUSTIFICATIVA DA AMBIGUIDADE:
0 = Sem ambiguidade. As imagens permitem distinguir a cena tridimensional renderizada daquelas que apresentam aparência de registros ou representações de fenômenos naturais. A alternativa A é claramente a mais adequada.</t>
  </si>
  <si>
    <t>JUSTIFICATIVA DOS DISTRATORES:
1 = Distratores moderados. As alternativas C e E podem parecer plausíveis para quem associa ray tracing simplesmente a qualquer imagem realista. Entretanto, o ponto fundamental é que realismo visual, por si só, não significa utilização de ray tracing. A Imagem 1 apresenta evidências visuais mais específicas de uma renderização tridimensional com simulação de iluminação.</t>
  </si>
  <si>
    <t>Computação Gráfica</t>
  </si>
  <si>
    <t>Algoritmos de Renderização / Traçado de Raios (Ray-Tracing)</t>
  </si>
  <si>
    <t>JUSTIFICATIVA DA RESPOSTA:
O algoritmo de traçado de raios (ray-tracing) é uma técnica de renderização sintética que computa a trajetória de raios de luz a partir da câmera/observador para simular com precisão fenômenos ópticos como reflexão, refração, transparência e sombras fotorrealistas.
A Imagem 1 é uma cena clássica de renderização computacional (disponível na Wikipédia), demonstrando refração e reflexão em superfícies de vidro e dados.
A Imagem 2 (obtida de um portal educacional, colegioweb.com.br) é a fotografia/ilustração de um raio atmosférico (descarga elétrica), constituindo um distrator baseado no duplo sentido da palavra "raio".
A Imagem 3 (extraída da publicação Computer Graphics World - cgw.com) mostra o tigre digital do filme As Aventuras de Pi, gerado via computação gráfica fotorrealista utilizando técnicas avançadas de ray-tracing para simular iluminação global, sombreamento e pelagem.
Assim, conclui-se que a técnica de traçado de raios foi utilizada para a geração das imagens 1 e 3.</t>
  </si>
  <si>
    <t>ANÁLISE DAS ALTERNATIVAS:
A:
Incorreta. A imagem 1 foi gerada por ray-tracing, mas a imagem 3 também utiliza essa técnica para a síntese gráfica do personagem digital.
B:
Incorreta. A imagem 2 representa uma descarga elétrica atmosférica (fenômeno natural), não tendo relação com o algoritmo de renderização computacional ray-tracing.
C:
Correta. As imagens 1 e 3 são sínteses gráficas geradas por computador por meio do algoritmo de traçado de raios (ray-tracing).
D:
Incorreta. A imagem 2 não é fruto de renderização computacional por traçado de raios.
E:
Incorreta. A imagem 2 não utiliza a técnica de traçado de raios, invalidando a afirmação de que todas as três imagens a utilizaram.</t>
  </si>
  <si>
    <t>JUSTIFICATIVA DA AMBIGUIDADE:
0 = Sem ambiguidade. O enunciado e as fontes de imagem fornecem contexto claro para diferir imagens de sintese gráfica por ray-tracing de um raio elétrico da natureza.</t>
  </si>
  <si>
    <t>JUSTIFICATIVA DOS DISTRATORES:
1 = Distratores moderados. Os distratores B, D e E tentam induzir ao erro explorando o sentido homônimo de "raio" (descarga elétrica atmosférica). O distrator A pode atrair quem associa o termo apenas a modelos sintéticos antigos/esquemáticos (Imagem 1), desconhecendo que modelos fotorrealistas modernos de cinema (Imagem 3) também são baseados em ray-tracing.</t>
  </si>
  <si>
    <t>Computação gráfica (síntese de imagens)</t>
  </si>
  <si>
    <t>Algoritmo de traçado de raios (ray-tracing): reconhecimento de efeitos visuais como reflexão, refração e transparência em imagens sintéticas</t>
  </si>
  <si>
    <t>JUSTIFICATIVA DA RESPOSTA:
O ray-tracing simula o caminho de raios de luz que partem do observador, atravessam a cena e interagem com os objetos. Assim, produz efeitos ópticos como reflexos, refrações, transparências e sombras nítidas. Seu uso é identificado nas imagens que exibem esses efeitos e que são sintéticas, isto é, geradas por computador.
A Imagem 1 mostra cálices e um recipiente de vidro com reflexos, transparência e refração, além de dados sobre uma superfície. É a cena clássica de vidro e cristal que costuma ilustrar o ray-tracing. Os reflexos e a transparência do vidro são a assinatura da técnica.
A Imagem 2 mostra um relâmpago. Trata-se de um fenômeno natural, em que uma descarga elétrica emite luz. Não há superfícies refletindo ou refratando luz que justifiquem o traçado de raios. Ela é uma fotografia (ou um efeito de outra natureza) e não uma cena renderizada por ray-tracing.
A Imagem 3 mostra um tigre com pelagem detalhada e iluminação realista. Ela remete a uma imagem gerada por computação gráfica de alto realismo, o que é compatível com o uso de ray-tracing (iluminação, sombreamento e reflexos nos olhos e na pelagem).
Portanto, o ray-tracing foi utilizado nas imagens 1 e 3.</t>
  </si>
  <si>
    <t>ANÁLISE DAS ALTERNATIVAS:
A:
Incorreta. Considera apenas a imagem 1 e exclui a imagem 3, que é uma imagem sintética realista compatível com a técnica.
B:
Incorreta. A imagem 2 é um relâmpago, um fenômeno natural sem objetos refletindo ou refratando luz. Ela é a imagem que não usa a técnica.
C:
Correta. Reúne a imagem 1 (vidro com reflexo e refração) e a imagem 3 (cena realista sintetizada) e exclui o relâmpago.
D:
Incorreta. Inclui a imagem 2, que não é gerada por traçado de raios, e exclui a imagem 1, o exemplo mais típico de ray-tracing.
E:
Incorreta. Inclui a imagem 2, um fenômeno natural, como se fosse gerada pela técnica.</t>
  </si>
  <si>
    <t>JUSTIFICATIVA DA AMBIGUIDADE:
Nível 1. O enunciado pede a análise das imagens sem dizer explicitamente quais são sintéticas. É preciso inferir isso pelo aspecto visual, principalmente na imagem 3, que pode ser confundida com uma fotografia real. A imagem 2, por sua vez, poderia ser simulada por outras técnicas de renderização. Ainda assim, a alternativa C é a mais adequada.</t>
  </si>
  <si>
    <t>JUSTIFICATIVA DOS DISTRATORES:
Nível 1. A alternativa A é o distrator mais plausível, pois a imagem 1 é a mais evidente para o ray-tracing e a imagem 3 pode parecer apenas uma fotografia. A alternativa E também tem apelo, por sugerir que a técnica gera qualquer imagem realista. Após identificar o relâmpago como fenômeno natural, as alternativas B, D e E ficam descartadas, e a escolha entre A e C depende de reconhecer a imagem 3 como sintética.</t>
  </si>
  <si>
    <t>Complexidade de algoritmos</t>
  </si>
  <si>
    <t>Problema do Caixeiro Viajante (TSP) e problemas NP-difíceis</t>
  </si>
  <si>
    <t>JUSTIFICATIVA DA RESPOSTA:
O problema descrito consiste em determinar uma ordem de visita das n etapas, sendo que o custo total depende tanto do custo de cada etapa quanto do custo de transição entre duas etapas consecutivas.
Como cada etapa deve ser realizada exatamente uma vez, e existe um custo associado à passagem de uma etapa para outra, o problema pode ser modelado como uma variante do Problema do Caixeiro Viajante (TSP): encontrar uma sequência que visite todos os vértices exatamente uma vez, minimizando o custo total das transições, considerando também o retorno/condição final especificada.
O TSP é um problema NP-difícil. Mais especificamente, uma instância do TSP pode ser transformada em uma instância do problema apresentado, atribuindo às etapas e às transições os custos correspondentes. Portanto, se fosse possível resolver o problema apresentado em tempo polinomial, também seria possível resolver o TSP em tempo polinomial.
Assim, não se conhece algoritmo de tempo polinomial para a solução exata desse problema; sua natureza é combinatória e, no pior caso, requer métodos de complexidade não polinomial para encontrar a solução ótima. Portanto, entre as alternativas apresentadas, a E é a correta.</t>
  </si>
  <si>
    <t>ANÁLISE DAS ALTERNATIVAS:
A:
Incorreta. O problema não se reduz a uma simples ordenação. Em um problema de ordenação, normalmente basta estabelecer uma ordem segundo uma chave ou critério. Aqui, o custo de uma etapa depende também da etapa que a precede, tornando necessário considerar combinações de sequências. Há, em geral, \(n!\) possíveis ordenações, e não existe um algoritmo ótimo de ordenação \(O(n\log n)\) que resolva o problema de forma geral.
B:
Incorreta. Coloração de grafos é um problema diferente, no qual se busca atribuir cores aos vértices respeitando determinadas restrições. Uma heurística de coloração não fornece a sequência de menor custo das etapas. Além disso, uma heurística não garante necessariamente uma solução ótima.
C:
Incorreta. Uma árvore geradora mínima busca conectar todos os vértices de um grafo com custo mínimo, sem ciclos. O problema apresentado exige uma sequência que passe por todas as etapas, considerando os custos de transição. Uma árvore geradora mínima não impõe a ordem necessária de execução e, portanto, não resolve o problema.
D:
Incorreta. O algoritmo de Dijkstra encontra caminhos de custo mínimo entre vértices de um grafo, mas não impõe que todos os estados correspondentes às etapas sejam visitados exatamente uma vez. O problema não é simplesmente encontrar um caminho entre um estado inicial e um final; é necessário escolher a melhor permutação das etapas.
E:
Correta. O problema contém a estrutura essencial do TSP: determinar uma sequência de visitas a todos os elementos, uma única vez, minimizando os custos de transição. O TSP pode ser reduzido ao problema descrito. Consequentemente, uma solução polinomial para o problema descrito implicaria uma solução polinomial para o TSP, o que caracteriza o problema como NP-difícil e justifica a conclusão de que algoritmos exatos conhecidos apresentam complexidade não polinomial no pior caso.</t>
  </si>
  <si>
    <t>JUSTIFICATIVA DA AMBIGUIDADE:
0 = Sem ambiguidade. O enunciado fornece informações suficientes para reconhecer a estrutura de um problema de otimização de sequência com custos de transição. As alternativas A–D correspondem a técnicas que não resolvem esse tipo de problema de forma geral, enquanto E identifica corretamente sua relação com o TSP.</t>
  </si>
  <si>
    <t>JUSTIFICATIVA DOS DISTRATORES:
2 = Distratores fortes. As alternativas C e D são particularmente plausíveis porque tanto árvore geradora mínima quanto caminhos mínimos são problemas clássicos de otimização em grafos e possuem algoritmos polinomiais. A alternativa A também pode atrair quem associe genericamente a busca de uma ordem à ordenação. A distinção fundamental é que o problema exige visitar todas as etapas uma única vez, minimizando os custos entre etapas, característica que aproxima o problema do TSP e não de ordenação, árvore geradora mínima ou caminho mínimo.</t>
  </si>
  <si>
    <t>Análise e Complexidade de Algoritmos</t>
  </si>
  <si>
    <t>Problemas NP-difíceis e Problema do Caixeiro Viajante (TSP)</t>
  </si>
  <si>
    <t>JUSTIFICATIVA DA RESPOSTA:
O problema descrito exige encontrar uma sequência de $n$ tratamentos em que cada etapa seja visitada exatamente uma vez, considerando os custos de transição entre etapas consecutivas e retornando ao estado inicial (caldeira limpa) com o menor custo total. Esta formulação é diretamente equivalente ao Problema do Caixeiro Viajante (Traveling Salesperson Problem - TSP) em um grafo ponderado, onde cada tratamento corresponde a um vértice e os custos de transição às arestas. Como o TSP é um problema de otimização combinatória classificado como NP-difícil (NP-hard), qualquer instância do TSP se reduz a este problema de sequenciamento. Consequentemente, não se conhece nenhum algoritmo exato capaz de resolvê-lo em tempo polinomial no pior caso, possuindo complexidade de tempo não-polinomial (exponencial ou fatorial).</t>
  </si>
  <si>
    <t>ANÁLISE DAS ALTERNATIVAS:A:Incorreta. Um algoritmo de ordenação de ordem $O(n \log n)$ exige uma relação de ordem total pré-determinada e independente entre os elementos. No problema proposto, o custo de transição para uma etapa depende da etapa imediatamente anterior, tornando o espaço de busca dependente da permutação global do ciclo e não de uma ordenação isolada.B:Incorreta. O problema de coloração de grafos consiste em atribuir cores a vértices adjacentes de modo que não compartilhem a mesma cor. Além de ser conceitualmente distinto da busca de um ciclo de menor custo, a coloração de grafos também é um problema NP-difícil, portanto heurísticas não garantem solução exata em tempo polinomial.C:Incorreta. A Árvore Geradora Mínima (AGM) conecta todos os vértices de um grafo com o menor custo total sem formar ciclos. O processo de fabricação exige a formação de um percurso fechado contínuo que visite cada nó exatamente uma vez (ciclo hamiltoniano), estrutura que não é equivalente à de uma árvore.D:Incorreta. O algoritmo de Dijkstra encontra o caminho de custo mínimo entre dois vértices específicos em tempo polinomial, mas permite a repetição ou omissão de vértices intermediários. Para forçar o Dijkstra a visitar todos os $n$ vértices sem repetição, é necessário incorporar o conjunto de visitados ao estado, o que provoca uma explosão combinatória de $2^n$ estados, resultando em complexidade não-polinomial.E:Correta. O problema apresentado é uma modelagem do Problema do Caixeiro Viajante (TSP). Por pertencer à classe de problemas NP-difíceis, não existe algoritmo exato conhecido capaz de resolvê-lo em tempo polinomial no pior caso.</t>
  </si>
  <si>
    <t>JUSTIFICATIVA DA AMBIGUIDADE:
Atribuiu-se nível 0 (sem ambiguidade), pois o enunciado estabelece claramente todas as restrições necessárias (execução de $n$ etapas exatamente uma vez, custos de transição dependentes da sequência, início e fim no estado limpo), permitindo identificar de forma unívoca a redução ao Problema do Caixeiro Viajante.</t>
  </si>
  <si>
    <t>JUSTIFICATIVA DOS DISTRATORES:
Atribuiu-se nível 1 (distratores moderados), pois alternativas como C e D envolvem algoritmos clássicos de grafos com solução em tempo polinomial (Dijkstra e Árvore Geradora Mínima), funcionando como distratores plausíveis para quem desconhece a restrição de ciclo hamiltoniano de custo mínimo.</t>
  </si>
  <si>
    <t>Análise de algoritmos e complexidade computacional</t>
  </si>
  <si>
    <t>Problemas NP-difíceis; redução do Problema do Caixeiro Viajante (TSP) ao problema de sequenciamento com custos de transição</t>
  </si>
  <si>
    <t>JUSTIFICATIVA DA RESPOSTA:
O problema consiste em escolher uma permutação das n etapas de tratamento, de modo que o custo total (custo de cada etapa + custo de transição entre etapas consecutivas) seja mínimo. O processo começa e termina com a caldeira limpa, e esse estado inicial/final funciona como um "depósito" (vértice adicional). A sequência ótima corresponde, portanto, a um ciclo hamiltoniano de custo mínimo no grafo completo cujos vértices são as etapas (mais o estado "caldeira limpa") e cujas arestas têm peso igual ao custo de transição (somado ao custo da etapa). Trata-se exatamente do Problema do Caixeiro Viajante (TSP), com custos possivelmente assimétricos. O TSP é NP-difícil, e a redução se faz a partir dele: qualquer instância do TSP pode ser codificada como uma instância do problema de sequenciamento, com custos de etapa nulos e custos de transição iguais às distâncias. Assim, não se conhece algoritmo de tempo polinomial para o problema (a menos que P = NP), e os algoritmos exatos conhecidos são exponenciais (força bruta O(n!), programação dinâmica de Held-Karp O(n²2ⁿ), etc.). A alternativa E afirma isso corretamente.</t>
  </si>
  <si>
    <t>ANÁLISE DAS ALTERNATIVAS:
A:
Incorreta. Ordenar não resolve o problema, pois o custo de uma sequência depende de pares consecutivos de etapas (custos de transição), não de uma ordem natural baseada em um valor individual. Não há algoritmo O(n log n) conhecido para o problema, que é NP-difícil.
B:
Incorreta. O problema de coloração de grafos é outro problema NP-difícil, sem relação de redução que torne o sequenciamento com custos de transição solúvel em tempo polinomial. Heurísticas de coloração não garantem a solução ótima, e a existência de uma heurística não implica solução exata em tempo polinomial.
C:
Incorreta. A árvore geradora mínima (AGM) é computável em tempo polinomial (Prim/Kruskal), mas não resolve o problema, pois a solução exige um ciclo hamiltoniano (cada etapa visitada exatamente uma vez, com retorno ao início), e não uma árvore. A AGM fornece apenas um limitante inferior/aproximação (no caso métrico, 2-aproximação), não a solução ótima.
D:
Incorreta. Dijkstra encontra caminhos mínimos entre dois vértices, sem exigir que todos os vértices sejam visitados exatamente uma vez. Para modelar o problema como caminho mínimo, o espaço de estados precisaria codificar o subconjunto de etapas já realizadas (2ⁿ estados), o que leva a tempo exponencial, e não polinomial.
E:
Correta. O problema é uma generalização/equivalente do TSP (NP-difícil), ao qual se reduz. Portanto, todos os algoritmos exatos conhecidos possuem complexidade de tempo não polinomial. A redução do TSP ao problema descrito justifica a afirmação.</t>
  </si>
  <si>
    <t>JUSTIFICATIVA DA AMBIGUIDADE:
Nível 0. O enunciado descreve claramente a estrutura do problema (permutação única, custos de transição, início e fim na caldeira limpa), o que caracteriza inequivocamente o TSP. A alternativa E é a única conceitualmente correta. A expressão "qualquer algoritmo conhecido" é adequada, pois a afirmação se restringe aos algoritmos conhecidos e não afirma que P ≠ NP.</t>
  </si>
  <si>
    <t>JUSTIFICATIVA DOS DISTRATORES:
Nível 1. Os distratores mobilizam conceitos reais (ordenação, coloração de grafos, AGM, Dijkstra), mas aplicados ao contexto errado. Os mais plausíveis são C (AGM, frequentemente associada ao TSP como aproximação) e D (Dijkstra, por causa da ideia de "estado inicial e final"). Ambos são descartados com análise conceitual básica: a AGM não produz um ciclo hamiltoniano ótimo, e o Dijkstra só seria polinomial se o espaço de estados fosse polinomial, o que não ocorre aqui.</t>
  </si>
  <si>
    <t>Recursão</t>
  </si>
  <si>
    <t>Execução e rastreamento de funções recursivas</t>
  </si>
  <si>
    <t>JUSTIFICATIVA DA RESPOSTA:
Para \(n = 27\), a condição n &lt;= 10 é falsa. Portanto:
recursao(27) = recursao(recursao(27/3))
Como a divisão é inteira em C/Java:
27/3 = 9
Logo:
recursao(27) = recursao(recursao(9))
Agora calculamos recursao(9). Como \(9 \leq 10\):
recursao(9) = 9 * 2 = 18
Então:
recursao(27) = recursao(18)
Como \(18 &gt; 10\):
recursao(18) = recursao(recursao(18/3))
18/3 = 6
Assim:
recursao(18) = recursao(recursao(6))
Como \(6 \leq 10\):
recursao(6) = 6 * 2 = 12
Portanto:
recursao(18) = recursao(12)
Como \(12 &gt; 10\):
recursao(12) = recursao(recursao(12/3))
12/3 = 4
Como \(4 \leq 10\):
recursao(4) = 4 * 2 = 8
Logo:
recursao(12) = recursao(8) = 8 * 2 = 16
Portanto:
recursao(27) = 16
Assim, a alternativa correta é D.</t>
  </si>
  <si>
    <t>ANÁLISE DAS ALTERNATIVAS:
A:
Incorreta. 8 é o resultado de recursao(4), uma chamada intermediária, mas não é o retorno final de recursao(27).
B:
Incorreta. 9 aparece como resultado da divisão inteira 27/3, mas esse valor ainda passa pela função recursiva e não é o retorno final.
C:
Incorreta. 12 é o resultado de recursao(6), também sendo apenas um valor intermediário durante a execução.
D:
Correta. A sequência relevante é recursao(27) → recursao(18) → recursao(12) → recursao(8), e recursao(8) = 16.
E:
Incorreta. 18 é o resultado de recursao(9), que ocorre inicialmente, mas esse resultado é utilizado como argumento de outra chamada recursiva. Portanto, não é o resultado final.</t>
  </si>
  <si>
    <t>JUSTIFICATIVA DA AMBIGUIDADE:
0 — Sem ambiguidade. O enunciado fornece a função completa e o valor de \(n\). A divisão inteira e a condição de parada permitem determinar univocamente o retorno. Existe uma única alternativa correta.</t>
  </si>
  <si>
    <t>JUSTIFICATIVA DOS DISTRATORES:
2 — Distratores fortes. As alternativas A, B, C e E correspondem a valores que realmente aparecem durante a execução da função: 8, 9, 12 e 18. Isso torna os distratores plausíveis para quem acompanha apenas parte da cadeia recursiva ou não considera que o resultado de uma chamada é usado como argumento da chamada seguinte.</t>
  </si>
  <si>
    <t>Algoritmos e Estruturas de Dados</t>
  </si>
  <si>
    <t>Recursividade e Rastreamento de Funções</t>
  </si>
  <si>
    <t>JUSTIFICATIVA DA RESPOSTA:Para determinar o valor de retorno de recursao(27), é necessário realizar o rastreamento das chamadas recursivas aninhadas passo a passo:Chamada inicial recursao(27):Como $27 &gt; 10$, entra no bloco else, devendo avaliar recursao(recursao(27 / 3)).Divisão inteira: $27 / 3 = 9$. Avalia-se primeiro a chamada interna recursao(9).Chamada interna recursao(9):Como $9 \le 10$, entra no caso base if e retorna $9 \times 2 = 18$.Retorno para recursao(27):Subtitui-se a chamada interna pelo valor retornado: recursao(18).Chamada recursao(18):Como $18 &gt; 10$, entra no else, devendo avaliar recursao(recursao(18 / 3)).Divisão inteira: $18 / 3 = 6$. Avalia-se a chamada interna recursao(6).Chamada interna recursao(6):Como $6 \le 10$, entra no caso base if e retorna $6 \times 2 = 12$.Retorno para recursao(18):Substitui-se a chamada interna pelo valor retornado: recursao(12).Chamada recursao(12):Como $12 &gt; 10$, entra no else, devendo avaliar recursao(recursao(12 / 3)).Divisão inteira: $12 / 3 = 4$. Avalia-se a chamada interna recursao(4).Chamada interna recursao(4):Como $4 \le 10$, entra no caso base if e retorna $4 \times 2 = 8$.Retorno para recursao(12):Substitui-se a chamada interna pelo valor retornado: recursao(8).Chamada final recursao(8):Como $8 \le 10$, entra no caso base if e retorna $8 \times 2 = 16$.Portanto, recursao(12) retorna 16, o que faz recursao(18) retornar 16 e, por fim, recursao(27) retornar 16.</t>
  </si>
  <si>
    <t>ANÁLISE DAS ALTERNATIVAS:A: Incorreta. O valor 8 é um resultado intermediário gerado pela execução de recursao(4), que ocorre no nível mais profundo da execução, mas ainda não é a resposta final.B: Incorreta. O valor 9 é apenas o resultado da primeira divisão inteira $27 / 3$, ou seja, o argumento passado para a primeira chamada recursiva interna.C: Incorreta. O valor 12 é o resultado intermediário retornado por recursao(6) durante a avaliação de recursao(18).D: Correta. O encadeamento de chamadas recursivas atinge o caso base $n = 8$ na chamada mais externa, resultando no valor final 16.E: Incorreta. O valor 18 é o resultado da primeira chamada interna recursao(9), que serve apenas como argumento para a chamada subsequente recursao(18).</t>
  </si>
  <si>
    <t>JUSTIFICATIVA DA AMBIGUIDADE:
Atribuiu-se nível 0 (Sem ambiguidade) porque a função está em linguagem C bem-definida, com regras claras de divisão inteira, fluxo condicional e recursão. O enunciado especifica claramente o parâmetro $n = 27$ e existe apenas uma resposta logicamente correta.</t>
  </si>
  <si>
    <t>JUSTIFICATIVA DOS DISTRATORES:
Atribuiu-se nível 2 (Distratores fortes) porque todas as alternativas incorretas correspondem exatamente a valores intermediários calculados durante o processo (como o resultado de divisões ou retornos de chamadas internas). Um candidato que perca o rastreamento da pilha de execução ou pare prematuramente o processo tenderá a assinalar uma das alternativas incorretas.</t>
  </si>
  <si>
    <t>Programação / Algoritmos</t>
  </si>
  <si>
    <t>Recursão (rastreamento de chamadas recursivas aninhadas) e divisão inteira em C</t>
  </si>
  <si>
    <t>JUSTIFICATIVA DA RESPOSTA:
Com n = 27, como 27 &gt; 10, a função retorna recursao(recursao(27/3)) = recursao(recursao(9)).
recursao(9): 9 ≤ 10, logo retorna 9 * 2 = 18.
Resta calcular recursao(18): 18 &gt; 10, logo retorna recursao(recursao(18/3)) = recursao(recursao(6)).
recursao(6): 6 ≤ 10, logo retorna 12.
Resta calcular recursao(12): 12 &gt; 10, logo retorna recursao(recursao(12/3)) = recursao(recursao(4)).
recursao(4): 4 ≤ 10, logo retorna 8.
recursao(8): 8 ≤ 10, logo retorna 16.
Desfazendo a cadeia: recursao(12) = 16, então recursao(18) = 16, então recursao(27) = 16.</t>
  </si>
  <si>
    <t>ANÁLISE DAS ALTERNATIVAS:
A:
Incorreta. 8 é o valor de recursao(4), um resultado intermediário. Quem para o rastreamento nesse ponto chega a ele.
B:
Incorreta. 9 é o resultado de 27/3, que é o argumento da chamada interna e não um valor retornado. Também não é possível obter um valor ímpar, pois todos os retornos diretos são n * 2.
C:
Incorreta. 12 é o valor de recursao(6), resultado intermediário. Quem esquece que recursao(12) ainda recai no ramo recursivo (12 &gt; 10) chega a ele.
D:
Correta. Conforme o rastreamento, recursao(27) = 16.
E:
Incorreta. 18 é o valor de recursao(9) e o argumento da chamada externa. Quem interpreta 18 como resultado final, sem perceber que 18 &gt; 10 exige nova recursão, escolhe essa alternativa.</t>
  </si>
  <si>
    <t>JUSTIFICATIVA DA AMBIGUIDADE:
Nível 0. O código está completo e o valor de n é dado. A divisão inteira em C é inequívoca (27/3 = 9, 18/3 = 6, 12/3 = 4) e existe uma única resposta determinável.</t>
  </si>
  <si>
    <t>JUSTIFICATIVA DOS DISTRATORES:
Nível 1. As alternativas A, C e E correspondem a valores intermediários do rastreamento (8, 12 e 18) e atraem quem interrompe a análise antes do fim. Elas são facilmente descartadas por quem rastreia a execução completa. A alternativa B é a mais fraca, por ser ímpar. Os distratores são plausíveis, mas a resposta correta fica clara após um rastreamento cuidadoso.</t>
  </si>
  <si>
    <t>Lógica formal</t>
  </si>
  <si>
    <t>Regras de inferência — Modus Tollens</t>
  </si>
  <si>
    <t>JUSTIFICATIVA DA RESPOSTA:
O argumento possui a seguinte estrutura:
Se existe fogo, então existe oxigênio: P → Q
Não há oxigênio: ¬Q
Logo, não há fogo: ¬P
Essa é exatamente a forma lógica do Modus Tollens:
P → Q, ¬Q ⟹ ¬P
Portanto, a alternativa B é a correta.</t>
  </si>
  <si>
    <t>ANÁLISE DAS ALTERNATIVAS:
A:
Incorreta. Apresenta a forma P → Q, ¬P ⟹ ¬Q, que não é uma regra de inferência válida. Negar o antecedente não permite concluir a negação do consequente.
B:
Correta. Apresenta exatamente o Modus Tollens: de P → Q e ¬Q, conclui-se ¬P.
C:
Incorreta. Apresenta P → Q, Q ⟹ P, que corresponde à afirmação do consequente, uma forma inválida de inferência. O fato de Q ser verdadeiro não garante P.
D:
Incorreta. De P → Q e ¬Q, a conclusão válida é ¬P, e não ¬¬P. A dupla negação de P equivale a P, portanto a conclusão apresentada contradiz a consequência válida.
E:
Incorreta. Apresenta P → Q, P ⟹ Q, que é o Modus Ponens. Essa regra é válida em si mesma, mas não corresponde ao argumento apresentado, pois a segunda premissa do enunciado é ¬Q, e a conclusão é ¬P.</t>
  </si>
  <si>
    <t>JUSTIFICATIVA DA AMBIGUIDADE:
O nível é 0 (sem ambiguidade). O enunciado fornece claramente a estrutura P → Q, ¬Q ⟹ ¬P, que corresponde diretamente à alternativa B.</t>
  </si>
  <si>
    <t>JUSTIFICATIVA DOS DISTRATORES:
O nível é 1 (distratores moderados). As alternativas C e E apresentam formas conhecidas de inferência, especialmente o Modus Ponens em E, o que pode confundir quem reconhece apenas parcialmente as regras de inferência. A alternativa A também explora a confusão entre negar o antecedente e aplicar o Modus Tollens.</t>
  </si>
  <si>
    <t>Lógica Proposicional</t>
  </si>
  <si>
    <t>Regras de Inferência (Modus Tollens)</t>
  </si>
  <si>
    <t>JUSTIFICATIVA DA RESPOSTA:Ao formalizar o argumento apresentado na linguagem da lógica proposicional, define-se:$P$: "Existe fogo"$Q$: "Existe oxigênio"A estrutura do argumento é a seguinte:Premissa 1: "Se existe fogo, então existe oxigênio" ($P \rightarrow Q$)Premissa 2: "Não há oxigênio" ($\neg Q$)Conclusão: "Então não há fogo" ($\neg P$)A regra de inferência que valida essa dedução é o Modus Tollens (negação do consequente), que estabelece que, dada uma condicional ($P \rightarrow Q$) e a negação de seu consequente ($\neg Q$), conclui-se validamente a negação do antecedente ($\neg P$). A representação simbólica dessa regra corresponde perfeitamente à estrutura da alternativa B.</t>
  </si>
  <si>
    <t>ANÁLISE DAS ALTERNATIVAS:A:Incorreta. Esta alternativa representa a falácia formal da negação do antecedente ($P \rightarrow Q, \neg P \vdash \neg Q$), na qual se tenta inferir erroneamente a negação do consequente a partir da negação do antecedente.B:Correta. Representa a regra de inferência válida do Modus Tollens ($P \rightarrow Q, \neg Q \vdash \neg P$), expressando com precisão a estrutura do argumento do enunciado.C:Incorreta. Esta alternativa representa a falácia formal da afirmação do consequente ($P \rightarrow Q, Q \vdash P$), deduzindo incorretamente o antecedente com base na afirmação do consequente.D:Incorreta. Utiliza as premissas corretas do argumento ($P \rightarrow Q$ e $\neg Q$), porém deriva uma conclusão inválida ($\neg\neg P$, que equivale a $P$).E:Incorreta. Representa a regra de inferência válida conhecida como Modus Ponens ($P \rightarrow Q, P \vdash Q$). Embora seja uma regra dedutiva válida, não corresponde ao argumento do enunciado, que afirma a negação do consequente e não a afirmação do antecedente.</t>
  </si>
  <si>
    <t>JUSTIFICATIVA DA AMBIGUIDADE:
Nível 0 (Sem ambiguidade). O enunciado fornece premissas e conclusão cristalinas e diretamente traduzíveis para a lógica proposicional, havendo somente uma alternativa perfeitamente condizente com a estrutura formal apresentada.</t>
  </si>
  <si>
    <t>JUSTIFICATIVA DOS DISTRATORES:
Nível 1 (Distratores moderados). As alternativas incorretas utilizam formas clássicas de raciocínio da lógica proposicional (incluindo Modus Ponens e as falácias formais de afirmação do consequente e negação do antecedente), podendo atrair candidatos que não dominem a distinção entre esses esquemas formais.</t>
  </si>
  <si>
    <t>Lógica proposicional</t>
  </si>
  <si>
    <t>Regras de inferência (Modus Tollens)</t>
  </si>
  <si>
    <t>JUSTIFICATIVA DA RESPOSTA:
Seja P = "existe fogo" e Q = "existe oxigênio". As premissas do argumento são:
P → Q (se existe fogo, então existe oxigênio);
¬Q (não há oxigênio).
A conclusão é ¬P (não há fogo). O padrão "de uma condicional e da negação de seu consequente, infere-se a negação de seu antecedente" é a regra Modus Tollens, cuja forma simbólica é P → Q, ¬Q ⊢ ¬P. Ela é válida porque, se P fosse verdadeira, Q teria de ser verdadeira, o que contradiz ¬Q. Logo, P é falsa.</t>
  </si>
  <si>
    <t>ANÁLISE DAS ALTERNATIVAS:
A:
Incorreta. A forma P → Q, ¬P ⊢ ¬Q é a falácia da negação do antecedente. Não é válida, pois Q pode ser verdadeira por outras causas além de P (por exemplo, pode haver oxigênio sem fogo).
B:
Correta. É a forma exata do Modus Tollens, que corresponde ao argumento apresentado: P → Q, ¬Q ⊢ ¬P.
C:
Incorreta. A forma P → Q, Q ⊢ P é a falácia da afirmação do consequente. Não é válida, pois a presença de oxigênio não garante a existência de fogo.
D:
Incorreta. Partindo de P → Q e ¬Q, a conclusão correta é ¬P, e não ¬¬P. A conclusão ¬¬P equivale a P, o oposto do que se deduz. Portanto, essa forma não é válida.
E:
Incorreta. A forma P → Q, P ⊢ Q é o Modus Ponens, uma regra válida, mas não é a que justifica este argumento, pois a segunda premissa do argumento é uma negação (¬Q), e não a afirmação do antecedente.</t>
  </si>
  <si>
    <t>JUSTIFICATIVA DA AMBIGUIDADE:
Nível 0. O enunciado é claro e suficiente: a estrutura do argumento (condicional, negação do consequente, negação do antecedente) corresponde inequivocamente ao Modus Tollens, e somente a alternativa B apresenta essa forma corretamente.</t>
  </si>
  <si>
    <t>JUSTIFICATIVA DOS DISTRATORES:
Nível 1. A alternativa E (Modus Ponens) é o principal distrator, pois é uma regra válida e muito conhecida, podendo ser confundida com o Modus Tollens. As alternativas A e C representam falácias clássicas (negação do antecedente e afirmação do consequente), plausíveis para quem as confunde com regras válidas. A alternativa D induz erro por conter a dupla negação na conclusão. Ainda assim, após a análise conceitual básica, a alternativa B é claramente superior.</t>
  </si>
  <si>
    <t>Complexidade computacional</t>
  </si>
  <si>
    <t>Redução polinomial, problemas NP-Completos e relação entre P e NP</t>
  </si>
  <si>
    <t>JUSTIFICATIVA DA RESPOSTA:
A alternativa A é correta.
Se um problema NP-Completo pode ser reduzido em tempo polinomial a um problema pertencente à classe P, então o problema NP-Completo também pode ser resolvido em tempo polinomial.
A razão é que uma redução polinomial transforma qualquer instância do problema NP-Completo em uma instância do problema em P, e essa transformação pode ser realizada em tempo polinomial. Como o problema de destino possui um algoritmo polinomial, basta realizar a redução e depois executar esse algoritmo.
Além disso, todo problema pertencente a NP pode ser reduzido em tempo polinomial a um problema NP-Completo. Portanto, se um problema NP-Completo está em P, todos os problemas de NP podem ser resolvidos em tempo polinomial. Consequentemente:
P = NP.
Assim, a asserção I é verdadeira.
A asserção II também é verdadeira: se um problema NP-Completo possui algoritmo polinomial, então todos os problemas NP-Completos podem ser resolvidos em tempo polinomial por meio de reduções polinomiais para esse problema.
A II também justifica a I: a existência de algoritmos polinomiais para todos os problemas NP-Completos implica que todo problema em NP pode ser reduzido a um NP-Completo e, portanto, também resolvido em tempo polinomial. Logo, NP ⊆ P. Como, por definição, P ⊆ NP, conclui-se que P = NP.</t>
  </si>
  <si>
    <t>ANÁLISE DAS ALTERNATIVAS:
A:
Correta. As duas asserções são verdadeiras e a II explica por que a descoberta implica P = NP.
B:
Incorreta. Embora I e II sejam verdadeiras, a II possui relação lógica direta com I. A existência de algoritmos polinomiais para os problemas NP-Completos é justamente o mecanismo que permite concluir P = NP.
C:
Incorreta. A asserção II não é falsa. A existência de uma redução polinomial de um problema NP-Completo para um problema em P permite obter um algoritmo polinomial para esse problema NP-Completo.
D:
Incorreta. A asserção I é verdadeira. A descoberta de um algoritmo polinomial para um problema NP-Completo, obtido por meio da redução para um problema em P, implica que todos os problemas de NP podem ser resolvidos em tempo polinomial.
E:
Incorreta. As duas asserções são verdadeiras.</t>
  </si>
  <si>
    <t>JUSTIFICATIVA DA AMBIGUIDADE:
0 = Sem ambiguidade. O enunciado fornece informação suficiente: uma redução polinomial de um problema NP-Completo para um problema em P implica que o problema NP-Completo está em P. Como problemas NP-Completos são representativos de todos os problemas de NP sob reduções polinomiais, segue-se P = NP.</t>
  </si>
  <si>
    <t>JUSTIFICATIVA DOS DISTRATORES:
1 = Distratores moderados. A alternativa B pode parecer plausível para quem reconhece que I e II são verdadeiras, mas não percebe que a II fornece a justificativa lógica para I. As demais alternativas são mais facilmente eliminadas por quem domina a relação entre problemas NP-Completos, reduções polinomiais e as classes P e NP.</t>
  </si>
  <si>
    <t>Complexidade Computacional (Classes P, NP, NP-Completo e Redução Polinomial)</t>
  </si>
  <si>
    <t>JUSTIFICATIVA DA RESPOSTA:Seja $A$ um problema NP-Completo e $B$ um problema pertencente à classe $P$. A existência de uma redução polinomial de $A$ para $B$ ($A \le_p B$), combinada ao fato de $B \in P$, implica que $A$ pode ser resolvido em tempo polinomial, ou seja, $A \in P$.Por definição de NP-Compleitude, para qualquer problema $Y \in NP$, existe uma redução polinomial de $Y$ para $A$ ($Y \le_p A$). Como $A \in P$, a composição da redução de $Y$ para $A$ com o algoritmo polinomial de $A$ resulta em um algoritmo polinomial para $Y$. Consequentemente, todos os problemas da classe $NP$ (incluindo todos os problemas NP-Completos) passam a ter algoritmos polinomiais, garantindo que $NP \subseteq P$ e, portanto, $P = NP$.Assim, a Asserção I é verdadeira ($P = NP$), a Asserção II é verdadeira (existem algoritmos polinomiais para todos os problemas NP-Completos) e a Asserção II justifica diretamente a Asserção I, pois a razão essencial pela qual $P = NP$ ocorre nesse cenário é o fato de que a solubilidade polinomial de um único problema NP-Completo se propaga para todos os demais problemas da classe.</t>
  </si>
  <si>
    <t>ANÁLISE DAS ALTERNATIVAS:A: Correta. Ambas as asserções são proposições verdadeiras, e a Asserção II é a justificativa causal e conceitual correta para a Asserção I.B: Incorreta. A Asserção II justifica diretamente a Asserção I, pois a igualdade de classes $P = NP$ é a consequência direta do fato de que todos os problemas NP-Completos passam a admitir soluções em tempo polinomial.C: Incorreta. A Asserção II é verdadeira, visto que, pela propriedade da redução polinomial transitiva e pela definição de NP-Compleitude, se um problema NP-Completo é reduzido a $P$, todos os problemas NP-Completos tornam-se tratáveis em tempo polinomial.D: Incorreta. A Asserção I é verdadeira, pois a inclusão de qualquer problema NP-Completo em $P$ implica $P = NP$.E: Incorreta. Ambas as asserções são verdadeiras e logicamente encadeadas.</t>
  </si>
  <si>
    <t>JUSTIFICATIVA DA AMBIGUIDADE:
Atribuiu-se nível 0 pois o enunciado utiliza definições formais padrão da teoria da computação. As relações de redução e as definições de P, NP e NP-Completo são inequívocas.</t>
  </si>
  <si>
    <t>JUSTIFICATIVA DOS DISTRATORES:
Atribuiu-se nível 1 devido à presença da alternativa B, que atua como distrator moderado para examinados que hesitam em identificar a relação de causalidade ("PORQUE") entre a igualdade de classes e a existência de algoritmos polinomiais para a classe NP-Completa.</t>
  </si>
  <si>
    <t>Teoria da Complexidade Computacional</t>
  </si>
  <si>
    <t>Classes P, NP e NP-Completo; reduções polinomiais</t>
  </si>
  <si>
    <t>JUSTIFICATIVA DA RESPOSTA:
Se existe uma redução polinomial de um problema NP-Completo A para um problema B pertencente a P, então A pode ser resolvido em tempo polinomial: basta transformar a instância de A em uma instância de B (tempo polinomial) e resolver B com o algoritmo polinomial. Assim, A ∈ P. Como todo problema em NP se reduz polinomialmente a qualquer problema NP-Completo (por definição), e a composição de reduções polinomiais é polinomial, todo problema em NP passa a ser resolvido em tempo polinomial. Logo, NP ⊆ P, e como P ⊆ NP, conclui-se P = NP. A asserção II é verdadeira, pois todos os problemas NP-Completos passam a ter algoritmos polinomiais. Além disso, a asserção II é justificativa da I: a existência de algoritmo polinomial para um problema NP-Completo (e, por consequência, para todos) é exatamente o mecanismo que leva a P = NP. Portanto, ambas são verdadeiras e II justifica I.</t>
  </si>
  <si>
    <t>ANÁLISE DAS ALTERNATIVAS:
A:
Correta. As duas asserções são verdadeiras e II explica I: a existência de algoritmos polinomiais para todos os NP-Completos, junto com a definição de NP-Completude (todo problema de NP se reduz a eles), implica P = NP.
B:
Incorreta. Reconhece a verdade das duas asserções, mas nega a relação de justificativa. Contudo, II é precisamente o passo que fundamenta a conclusão de I.
C:
Incorreta. A asserção II não é falsa: se um NP-Completo está em P, todos os NP-Completos são resolvíveis em tempo polinomial, pois todos são interreduzíveis por reduções polinomiais.
D:
Incorreta. A asserção I não é falsa; a redução de um NP-Completo para um problema em P implica P = NP.
E:
Incorreta. Ambas as asserções são verdadeiras.</t>
  </si>
  <si>
    <t>JUSTIFICATIVA DA AMBIGUIDADE:
Nível 0. O enunciado é claro e suficiente. Uma leitura estrita poderia notar que a redução deve ser polinomial (many-one ou de Turing) e que "problema pertencente a P" é o ponto-chave, mas isso não gera interpretações concorrentes: a resposta é determinada.</t>
  </si>
  <si>
    <t>JUSTIFICATIVA DOS DISTRATORES:
Nível 1. O principal distrator é a alternativa B, plausível para quem considera as asserções verdadeiras, mas entende que II seria apenas uma consequência paralela e não uma justificativa de I. Uma análise conceitual (definição de NP-Completude e transitividade das reduções) mostra que II sustenta I. As demais alternativas são facilmente descartadas por quem domina os conceitos básicos.</t>
  </si>
  <si>
    <t>Teoria dos Grafos e Complexidade de Algoritmos</t>
  </si>
  <si>
    <t>Árvore Geradora Mínima — algoritmo de Kruskal</t>
  </si>
  <si>
    <t>JUSTIFICATIVA DA RESPOSTA:
O problema consiste em ligar todos os n+1 pontos com a menor extensão total de encanamentos, sem necessidade de estabelecer um caminho específico entre dois pontos. Isso corresponde exatamente ao problema da Árvore Geradora Mínima (AGM) em um grafo ponderado.
O algoritmo descrito é essencialmente o algoritmo de Kruskal:
Inicialmente, cada vértice forma um conjunto separado.
Todas as arestas possíveis são colocadas em D, com suas respectivas distâncias.
As arestas são processadas em ordem crescente de peso.
Uma aresta só é adicionada à solução se conectar componentes diferentes.
Ao conectar os componentes, eles são unidos.
Esse procedimento produz uma árvore geradora mínima.
Quanto à complexidade, o problema da AGM possui algoritmos polinomiais, portanto pertence à classe P. Assim, a alternativa A está correta.</t>
  </si>
  <si>
    <t>ANÁLISE DAS ALTERNATIVAS:
A:
Correta. O problema é de obtenção de uma árvore geradora mínima: todos os pontos devem ser conectados, minimizando a soma das distâncias das ligações. O algoritmo apresentado corresponde ao algoritmo de Kruskal. O problema pode ser resolvido em tempo polinomial, portanto pertence a P.
B:
Incorreta. O algoritmo não é uma heurística para o Problema do Caixeiro Viajante. No Caixeiro Viajante, busca-se um ciclo de menor custo que visite cada cidade uma vez e retorne à origem. Aqui, busca-se conectar todos os pontos com custo mínimo, sem exigir um ciclo ou retorno à origem. Trata-se de Árvore Geradora Mínima.
C:
Incorreta. O fato de um problema ser de otimização não significa que ele necessariamente pertença a NP-difícil. A Árvore Geradora Mínima possui solução eficiente em tempo polinomial. Portanto, não se pode classificá-la simplesmente como NP-difícil por ser um problema de otimização.
D:
Incorreta. O algoritmo de Dijkstra resolve o problema de caminho mínimo a partir de um vértice para os demais (ou, com adaptações, entre dois vértices) em grafos com pesos apropriados. Isso é diferente de encontrar uma árvore que conecte todos os pontos com soma mínima das arestas. Para este problema, algoritmos como Kruskal ou Prim são apropriados.
E:
Incorreta. O conjunto D possui um registro para cada combinação de dois pontos distintos. Com n+1 pontos, o número de combinações é:
$$ \binom{n+1}{2}=\frac{n(n+1)}{2} $$
Logo, a quantidade de registros é O(n²), e não O(n!). Portanto, a criação de D não possui complexidade fatorial.</t>
  </si>
  <si>
    <t>JUSTIFICATIVA DA AMBIGUIDADE:
O nível é 0 (sem ambiguidade). O enunciado descreve claramente a conexão de todos os pontos com menor extensão total e apresenta exatamente os passos característicos do algoritmo de Kruskal. As alternativas permitem identificar de forma inequívoca a Árvore Geradora Mínima.</t>
  </si>
  <si>
    <t>JUSTIFICATIVA DOS DISTRATORES:
O nível é 2 (distratores fortes). As alternativas B, C e D utilizam conceitos reais de otimização, complexidade ou grafos, podendo confundir quem não diferencia Árvore Geradora Mínima de caminho mínimo ou Caixeiro Viajante. A alternativa E também pode parecer plausível pela quantidade de combinações, mas exige reconhecer que o número de pares de pontos é quadrático, e não fatorial.</t>
  </si>
  <si>
    <t>Teoria dos Grafos e Complexidade Computacional</t>
  </si>
  <si>
    <t>Árvore Geradora Mínima (Algoritmo de Kruskal) e Classe P</t>
  </si>
  <si>
    <t>JUSTIFICATIVA DA RESPOSTA:
O problema consiste em conectar $n+1$ pontos com o menor comprimento total de encanamento, o que equivale a encontrar uma Árvore Geradora Mínima (AGM) em um grafo cujos vértices são os pontos e cujas arestas possuem pesos iguais às distâncias entre eles. O algoritmo detalhado nos passos 1 a 3 é a implementação exata do Algoritmo de Kruskal, que utiliza uma estrutura de dados de conjuntos disjuntos (Union-Find) para selecionar iterativamente as arestas de menor peso que não formam ciclos. Como o problema da Árvore Geradora Mínima pode ser resolvido por algoritmos determinísticos em tempo polinomial (como o de Kruskal, com complexidade $O(E \log V)$), ele pertence à classe de complexidade P.</t>
  </si>
  <si>
    <t>ANÁLISE DAS ALTERNATIVAS:A:Correta. O problema trata do cálculo da Árvore Geradora Mínima e o procedimento descrito corresponde ao Algoritmo de Kruskal. Como existem algoritmos polinomiais que resolvem esse problema de maneira exata, ele pertence à classe P.B:Incorreta. O algoritmo apresentado não é uma heurística para o Problema do Caixeiro Viajante (TSP), mas sim o algoritmo exato de Kruskal para Árvores Geradoras Mínimas. O TSP é um problema NP-difícil que busca um circuito fechado que passe por todos os vértices exatamente uma vez.C:Incorreta. Nem todo problema de otimização é NP-difícil. O problema da Árvore Geradora Mínima é um problema de otimização que possui solução polinomial exata, pertencendo à classe P.D:Incorreta. O algoritmo de Dijkstra encontra os caminhos mínimos a partir de um vértice de origem para os demais, gerando uma árvore de caminhos mínimos, a qual não garante a minimização da soma total do peso de todas as arestas da rede (objetivo da AGM).E:Incorreta. O conjunto D contém o par de combinação de $n+1$ pontos tomados 2 a 2. O número total de combinações é $\binom{n+1}{2} = \frac{(n+1)n}{2}$, o que gera complexidade espacial e de criação de $O(n^2)$, e não fatorial $O(n!)$.</t>
  </si>
  <si>
    <t>JUSTIFICATIVA DA AMBIGUIDADE:
Atribuiu-se nível 0 (Sem ambiguidade) pois o enunciado fornece a descrição precisa do Algoritmo de Kruskal para o problema clássico de Árvore Geradora Mínima, permitindo concluir objetivamente que a alternativa A é a única correta.</t>
  </si>
  <si>
    <t>JUSTIFICATIVA DOS DISTRATORES:
Atribuiu-se nível 1 (Distratores moderados) pois as alternativas utilizam conceitos reais da ciência da computação (Dijkstra, Caixeiro Viajante, NP-difícil, complexidade fatorial) de forma conceitualmente incorreta no contexto da questão, servindo como distratores plausíveis para quem não domina a diferença entre caminhos mínimos e árvores geradoras ou as classes de complexidade P e NP.</t>
  </si>
  <si>
    <t>Algoritmos em grafos e teoria da complexidade computacional</t>
  </si>
  <si>
    <t>Árvore geradora mínima (algoritmo de Kruskal com conjuntos disjuntos) e classes de complexidade P, NP, NP-completo e NP-difícil</t>
  </si>
  <si>
    <t>JUSTIFICATIVA DA RESPOSTA:
O problema pede a ligação de n+1 pontos (o poço e os n bebedouros) com a menor extensão total de encanamento. Os pontos são vértices de um grafo completo ponderado pelas distâncias, e a solução é um subgrafo conexo, sem ciclos e de custo mínimo, ou seja, uma árvore geradora mínima (AGM). O algoritmo descrito é o de Kruskal: ele parte de conjuntos unitários (uma floresta de vértices isolados), ordena as arestas por peso crescente e só aceita uma aresta se seus extremos estiverem em componentes distintos, unindo-os. Isso evita ciclos e garante o ótimo por propriedade gulosa. O problema da AGM é resolvível em tempo polinomial (Kruskal em O(E log E), com E = O(n²), ou seja, O(n² log n)). Logo, pertence à classe P (na versão de decisão, e a versão de otimização é resolvida em tempo polinomial). A alternativa A é, portanto, correta.</t>
  </si>
  <si>
    <t>ANÁLISE DAS ALTERNATIVAS:
A:
Correta. O problema é de árvore geradora mínima, resolvido em tempo polinomial pelo algoritmo de Kruskal descrito, portanto está em P.
B:
Incorreta. O algoritmo não é heurística para o Caixeiro Viajante. O PCV exige um ciclo hamiltoniano de custo mínimo, e o algoritmo apresentado produz uma árvore (sem ciclos) e é exato para a AGM. Além disso, a conclusão "logo apresenta complexidade polinomial" trata o PCV de modo inadequado, pois o PCV é NP-difícil.
C:
Incorreta. O problema é de otimização, mas é resolvível em tempo polinomial, logo não é NP-difícil (a menos que P = NP). A AGM está em P, e a afirmação de que pertence ao conjunto NP-difícil é falsa nesse contexto.
D:
Incorreta. Dijkstra encontra caminhos mínimos de uma origem para os demais vértices, o que não equivale a minimizar o comprimento total de uma rede que conecta todos os pontos. A árvore de caminhos mínimos pode ter extensão total maior que a da AGM. O algoritmo adequado é Kruskal ou Prim.
E:
Incorreta. A criação de D gera O(n²) registros (combinações de dois em n+1 pontos), e não O(n!). Além disso, o passo de maior custo é a ordenação/remoção sucessiva por menor distância (O(n² log n)), e a complexidade total do algoritmo é polinomial.</t>
  </si>
  <si>
    <t>JUSTIFICATIVA DA AMBIGUIDADE:
Nível 0. O enunciado descreve claramente o problema e o algoritmo (Kruskal), e apenas a alternativa A é integralmente correta. Não há insuficiência de informação nem interpretações plausíveis concorrentes.</t>
  </si>
  <si>
    <t>JUSTIFICATIVA DOS DISTRATORES:
Nível 1. Os distratores B e C exploram confusões entre AGM e PCV e entre problemas de otimização e NP-difícil, e D usa um algoritmo real de grafos (Dijkstra) em contexto inadequado, o que pode atrair candidatos que confundem caminho mínimo com AGM. Ainda assim, a alternativa A permanece claramente superior após análise conceitual básica.</t>
  </si>
  <si>
    <t>Validade de argumentos, implicação e bicondicional</t>
  </si>
  <si>
    <t>JUSTIFICATIVA DA RESPOSTA:
As proposições podem ser formalizadas como:
“Se P, então Q” → P → Q
“Se Q, então R” → Q → R
“R não ocorre ou P ocorre” → ¬R ∨ P, que é equivalente a R → P
Conclusão: “P se e somente se Q” → P ↔ Q
A partir das premissas:
P → Q
Q → R
R → P
Temos diretamente as duas implicações necessárias para a conclusão:
P → Q, dada como primeira premissa.
Q → P, obtida pela transitividade: Q → R e R → P.
Logo:
P → Q ∧ Q → P ⟹ P ↔ Q
Portanto, as afirmações I e III estão corretas.</t>
  </si>
  <si>
    <t>ANÁLISE DAS ALTERNATIVAS:
A:
Correta. A afirmação I formaliza corretamente as premissas e a conclusão. A afirmação III também está correta: ¬R ∨ P é equivalente a R → P; combinando R → P com Q → R, obtemos Q → P. Como já temos P → Q, segue P ↔ Q.
B:
Incorreta. A afirmação II apresenta uma conclusão diferente da questão original: afirma chegar a Q ↔ R, enquanto a conclusão proposta é P ↔ Q. Além disso, a sequência apresentada não demonstra a conclusão correta.
C:
Incorreta. Embora I e III estejam corretas, a afirmação V está incorreta. O argumento não é inválido; as premissas permitem demonstrar P ↔ Q.
D:
Incorreta. I está correta, mas II está incorreta. Além disso, IV está incorreta porque a conclusão original é P ↔ Q, e não simplesmente P → Q.
E:
Incorreta. II e IV estão incorretas. V também está incorreta, pois o argumento é válido. Apenas III, dentre essas afirmações, está correta.</t>
  </si>
  <si>
    <t>JUSTIFICATIVA DA AMBIGUIDADE:
0 — Sem ambiguidade. As proposições possuem formalização padrão e as equivalências lógicas necessárias são bem definidas. Há uma alternativa claramente determinada: I e III.</t>
  </si>
  <si>
    <t>JUSTIFICATIVA DOS DISTRATORES:
2 — Distratores fortes. A questão apresenta alternativas incorretas que combinam afirmações parcialmente plausíveis. Em especial, II utiliza corretamente conceitos como transitividade e bicondicional, mas chega à conclusão errada Q ↔ R. IV também contém uma equivalência lógica correta (¬R ∨ P ≡ ¬R → P), mas altera incorretamente a conclusão para P → Q. Isso exige analisar cada afirmação individualmente, tornando os distratores fortes.</t>
  </si>
  <si>
    <t>Lógica de Argumentação</t>
  </si>
  <si>
    <t>Validade de Argumentos, Equivalências Lógicas e Dedução Proposicional</t>
  </si>
  <si>
    <t>JUSTIFICATIVA DA RESPOSTA:O argumento apresentado no enunciado é composto pelas seguintes proposições e estrutura formal:Premissa 1: $P \to Q$ ("Se o programador lê a literatura técnica, então ele conhece inglês")Premissa 2: $Q \to R$ ("Se o programador conhece o idioma inglês, então ele será selecionado")Premissa 3: $\neg R \lor P$ ("O programador não será selecionado ou ele lê a literatura técnica")Conclusão: $P \leftrightarrow Q$ ("O programador lê a literatura técnica se e somente se conhece o idioma inglês")Análise detalhada das afirmações:I. Correta: Associa perfeitamente a simbolização formal às premissas ($P \to Q$, $Q \to R$ e $\neg R \lor P$) e à conclusão ($P \leftrightarrow Q$).II. Incorreta: Afirma que $\neg Q \lor P$ é equivalente a uma premissa (na verdade, $\neg Q \lor P \equiv Q \to P$, o que não é equivalente a $P \to Q \equiv \neg P \lor Q$), e conclui equivocadamente $Q \leftrightarrow R$ em vez de $P \leftrightarrow Q$.III. Correta: Demonstra rigorosamente a validade do argumento:A premissa $\neg R \lor P$ é equivalente a $R \to P$ (pela regra da condicional: $A \to B \equiv \neg A \lor B$).Pela transitividade da implicação aplicada a $Q \to R$ (Premissa 2) e $R \to P$, deriva-se $Q \to P$.Pela conjunção da Premissa 1 ($P \to Q$) com a condicional derivada ($Q \to P$), obtém-se $(P \to Q) \land (Q \to P) \equiv P \leftrightarrow Q$, provando que o argumento é válido.IV. Incorreta: Traduz erroneamente a Premissa 3 como $\neg R \to P$ (que equivaleria a $R \lor P$) e a conclusão como $P \to Q$.V. Incorreta: O argumento é válido, e a suposta justificativa de invalidade baseada apenas na diferença formal entre a conclusão e as premissas é um equívoco conceitual.Portanto, apenas as afirmações I e III são verdadeiras, justificando a escolha da Alternativa A.</t>
  </si>
  <si>
    <t>ANÁLISE DAS ALTERNATIVAS:
A:
Correta. Identifica com precisão que apenas as afirmações I e III estão corretas.
B:
Incorreta. Trata as afirmações II e IV como corretas, quando ambas contêm erros formais de equivalência lógica e de representação da conclusão.
C:
Incorreta. Inclui a afirmação V, que é falsa, pois o argumento é perfeitamente válido.
D:
Incorreta. Considera corretas as afirmações II, IV e V, que contêm erros conceituais e formais.
E:
Incorreta. Inclui as afirmações II, IV e V e omite a afirmação I (que é verdadeira).</t>
  </si>
  <si>
    <t>JUSTIFICATIVA DA AMBIGUIDADE:
Atribuiu-se nível 0 (Sem ambiguidade), pois o enunciado e as alternativas fornecem todos os elementos formais necessários para aplicar as regras da lógica proposicional de forma objetiva e unívoca.</t>
  </si>
  <si>
    <t>JUSTIFICATIVA DOS DISTRATORES:
Atribuiu-se nível 1 (Distratores moderados), pois a afirmação II constrói uma linha de raciocínio aparentemente plausível para quem não domina a assimetria da implicação ($P \to Q \not\equiv Q \to P$), e a afirmação V explora uma ilusão de invalidade comum entre iniciantes em lógica formal.</t>
  </si>
  <si>
    <t>Validade de argumentos: simbolização, equivalências (condicional e disjunção), silogismo hipotético e bicondicional</t>
  </si>
  <si>
    <t>JUSTIFICATIVA DA RESPOSTA:
A simbolização correta é:
Premissa 1: P → Q
Premissa 2: Q → R
Premissa 3: "O programador não será selecionado ou ele lê a literatura técnica" = ¬R ∨ P, equivalente a R → P
Conclusão: P ↔ Q
O argumento é válido. De Q → R e R → P, o silogismo hipotético dá Q → P. Juntando com a premissa P → Q, obtém-se (P → Q) ∧ (Q → P), que é P ↔ Q. Essa demonstração é a descrita na afirmação III, e a simbolização correta é a da afirmação I. As afirmações II, IV e V contêm erros e não podem ser aceitas. Portanto, apenas I e III estão corretas.</t>
  </si>
  <si>
    <t>ANÁLISE DAS ALTERNATIVAS:
A:
Correta. I e III são verdadeiras e II, IV e V são falsas.
B:
Incorreta. II e IV são falsas. Em II, ¬Q ∨ P não é equivalente a nenhuma premissa, e a conclusão Q ↔ R não é a do argumento. Em IV, ¬R → P não é a simbolização da terceira premissa, e a conclusão P → Q não é a bicondicional.
C:
Incorreta. Inclui a V, que é falsa: o argumento é válido, então não há demonstração de invalidade.
D:
Incorreta. Inclui II, IV e V, todas falsas, e deixa de fora a III, que é verdadeira.
E:
Incorreta. Inclui II, IV e V, falsas, e omite a I, que é verdadeira.</t>
  </si>
  <si>
    <t>JUSTIFICATIVA DA AMBIGUIDADE:
Nível 0. O enunciado é claro, a simbolização é direta e há uma única combinação de afirmações compatível com a análise lógica. Nenhum trecho admite interpretação alternativa relevante.</t>
  </si>
  <si>
    <t>JUSTIFICATIVA DOS DISTRATORES:
Nível 1. As afirmações II e IV são construídas com pequenas alterações que parecem plausíveis. Em II, ¬Q ∨ P e Q ↔ R trocam as proposições corretas. Em IV, ¬R → P se confunde com ¬R ∨ P. Um leitor desatento pode aceitá-las, mas a verificação das equivalências (A → B ≡ ¬A ∨ B) as elimina com facilidade. A afirmação V é fraca, pois basta reconhecer a validade do argumento. Os principais distratores são as alternativas B e E, que combinam afirmações falsas de aparência semelhante às verdadeiras.</t>
  </si>
  <si>
    <t>Circuitos digitais combinacionais</t>
  </si>
  <si>
    <t>Multiplexadores 4×1 e lógica de habilitação</t>
  </si>
  <si>
    <t>JUSTIFICATIVA DA RESPOSTA:
A especificação exige que o elevador 2 seja habilitado quando mais de 2 andares solicitarem o serviço, ou seja, quando 3 ou 4 andares fizerem a solicitação.
O multiplexador 4×1 utiliza A e B como sinais de seleção. Portanto, a saída não é determinada sempre pela entrada superior; ela depende da combinação de AB.
A asserção I é verdadeira, pois o circuito proposto não implementa corretamente a condição de habilitação para todas as combinações de A, B, C e D.
A asserção II é falsa. Embora exista uma entrada do MUX ligada constantemente a 0, isso não significa que a saída será sempre 0. Essa entrada só será encaminhada à saída quando a combinação dos sinais de seleção A e B selecionar especificamente essa entrada.
Portanto, I é verdadeira e II é falsa, correspondendo à alternativa C.</t>
  </si>
  <si>
    <t>ANÁLISE DAS ALTERNATIVAS:
A:
Incorreta. A asserção I é verdadeira, mas a II é falsa. Logo, não podem ser ambas verdadeiras.
B:
Incorreta. A asserção I é verdadeira, porém a II é falsa.
C:
Correta. A asserção I é verdadeira, pois o circuito não atende à especificação. A asserção II é falsa, pois uma entrada constante em 0 de um MUX só determina a saída quando essa entrada é selecionada por A e B.
D:
Incorreta. A asserção I não é falsa; o circuito realmente apresenta comportamento incompatível com a especificação.
E:
Incorreta. A asserção I é verdadeira, portanto não podem ser ambas falsas.</t>
  </si>
  <si>
    <t>JUSTIFICATIVA DA AMBIGUIDADE:
0 = Sem ambiguidade. O funcionamento de um multiplexador 4×1 e a função dos sinais A e B como seleção estão suficientemente indicados no enunciado. É possível determinar claramente que a entrada constante 0 não controla a saída independentemente dos sinais de seleção.</t>
  </si>
  <si>
    <t>JUSTIFICATIVA DOS DISTRATORES:
2 = Distratores fortes. O principal distrator é a alternativa A, pois a afirmação II pode parecer plausível para quem interpreta a entrada constante 0 como se estivesse diretamente ligada à saída. Entretanto, em um MUX, a entrada só chega à saída quando é selecionada. As alternativas B, D e E também exigem atenção à distinção entre a validade individual das asserções e a relação entre elas.</t>
  </si>
  <si>
    <t>Circuitos Digitais</t>
  </si>
  <si>
    <t>Multiplexadores e Lógica Combinacional</t>
  </si>
  <si>
    <t>JUSTIFICATIVA DA RESPOSTA:A especificação do projeto exige que o elevador 2 seja habilitado apenas quando houver solicitação em mais de 2 andares (isto é, $A + B + C + D \ge 3$). Analisando as entradas de seleção do multiplexador $4 \times 1$ ($AB$):Para $AB = 00$ (0 andares solicitados entre 1 e 2): Mesmo que $C=1$ e $D=1$, o total máximo de solicitações seria 2. Como $2 \ngtr 2$, a saída deve ser constante 0. No circuito, a entrada 0 do MUX está ligada à constante 0.Para $AB = 01$ ou $AB = 10$ (1 andar solicitado entre 1 e 2): Para atingir mais de 2 solicitações, é necessário que ambos os andares 3 e 4 solicitem ($C=1$ e $D=1$), o que corresponde à função lógica $C \cdot D$. No circuito, as entradas 1 e 2 do MUX estão conectadas à saída da porta AND.Para $AB = 11$ (2 andares solicitados entre 1 e 2): Para ter mais de 2 solicitações, basta que pelo menos um dos andares 3 ou 4 solicite ($C=1$ ou $D=1$), o que corresponde à função lógica $C + D$. No circuito, a entrada 3 do MUX está conectada à saída da porta OR.Portanto, o circuito atende integralmente às especificações do projeto, o que torna a asserção I FALSA.A asserção II também é FALSA, pois ter a entrada 0 conectada à constante 0 significa apenas que a saída será 0 quando as linhas de seleção $AB$ forem $00$. Para as demais combinações de seleção ($01$, $10$ e $11$), a saída do MUX selecionará os outros canais de entrada, dependendo dos valores de $C$ e $D$.Como ambas as asserções são falsas, a alternativa correta é a E.</t>
  </si>
  <si>
    <t>ANÁLISE DAS ALTERNATIVAS:A: Incorreta. A asserção I é falsa porque o circuito cumpre a especificação do projeto, e a asserção II é falsa porque o MUX não trava em 0 independentemente de $A, B, C, D$.B: Incorreta. Ambas as asserções são proposições falsas.C: Incorreta. A asserção I é falsa, pois o circuito implementa corretamente a tabela verdade necessária.D: Incorreta. Embora a asserção I seja de fato falsa, a asserção II também é falsa, já que a presença de constante 0 na entrada 0 do MUX afeta apenas o estado $AB = 00$.E: Correta. Ambas as asserções I e II são proposições falsas.</t>
  </si>
  <si>
    <t>JUSTIFICATIVA DA AMBIGUIDADE:
Nível 0 (Sem ambiguidade). O enunciado define com clareza o comportamento lógico exigido e o circuito visualizado permite a verificação rigorosa de sua tabela verdade sem margem para ambiguidades.</t>
  </si>
  <si>
    <t>JUSTIFICATIVA DOS DISTRATORES:
Nível 1 (Distratores moderados). A asserção II formula uma afirmação incorreta, mas conceitualmente tentadora para quem confunde o papel de uma entrada de dados em um multiplexador com um sinal de habilitação (enable) geral, o que pode levar à escolha da alternativa C.</t>
  </si>
  <si>
    <t>Circuitos digitais (eletrônica digital)</t>
  </si>
  <si>
    <t>Multiplexadores como implementação de funções lógicas e análise de circuito combinacional</t>
  </si>
  <si>
    <t>JUSTIFICATIVA DA RESPOSTA:
O elevador 2 deve ser habilitado apenas quando mais de 2 andares (isto é, 3 ou 4) solicitarem o serviço. Fixando os sinais de seleção A e B, a função exigida em cada caso é:
AB = 00: nenhum dos andares 1 e 2 solicitou, então no máximo 2 andares (3 e 4) podem solicitar. A saída deve ser 0, que é a entrada constante 0 do multiplexador.
AB = 01 ou 10: exatamente um dos andares 1 e 2 solicitou. Para haver mais de 2 solicitações, C e D precisam ser ambos 1. A função é C·D (porta AND).
AB = 11: os dois andares 1 e 2 solicitaram, então basta que C ou D seja 1. A função é C + D (porta OR).
Pela figura, o multiplexador recebe 0 na entrada de AB=00, a saída da AND nas entradas de AB=01 e AB=10 (a saída da AND se ramifica para duas entradas) e a saída da OR na entrada de AB=11. Isso coincide exatamente com a especificação, logo o circuito atende ao projeto e a asserção I é falsa. A asserção II também é falsa: a entrada com constante 0 só é propagada à saída quando AB = 00. Para os demais valores de AB, a saída depende de C e D. Portanto as duas asserções são falsas.</t>
  </si>
  <si>
    <t>ANÁLISE DAS ALTERNATIVAS:
A:
Incorreta. Supõe I e II verdadeiras com relação de causa; ambas são falsas.
B:
Incorreta. Também exige I e II verdadeiras, o que não ocorre.
C:
Incorreta. A asserção I é falsa, pois o circuito atende à especificação.
D:
Incorreta. A asserção II é falsa, pois a entrada 0 só é selecionada quando AB = 00, e não para todas as combinações de A, B, C e D.
E:
Correta. As duas asserções são falsas: o circuito implementa corretamente a função exigida, e a constante 0 só determina a saída quando AB = 00.</t>
  </si>
  <si>
    <t>JUSTIFICATIVA DA AMBIGUIDADE:
Nível 1. O enunciado é claro quanto à especificação (mais de 2 andares) e à codificação de AB, mas depende da leitura visual da figura para saber a que entradas do MUX cada porta está ligada, o que é o único ponto interpretativo. Com a leitura consistente da figura, há uma única alternativa correta.</t>
  </si>
  <si>
    <t>JUSTIFICATIVA DOS DISTRATORES:
Nível 1. A alternativa D funciona como principal distrator para quem leia a figura de forma imprecisa ou não confira as ligações do MUX. A alternativa C atrai quem considere a constante 0 um erro de projeto. A asserção II é parcialmente plausível (a entrada 0 existe), mas o termo "independentemente dos valores de A, B, C e D" a torna falsa. Após a análise conceitual, a resposta E permanece claramente superior.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</si>
</sst>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0">
    <font>
      <sz val="10.0"/>
      <color rgb="FF000000"/>
      <name val="Arial"/>
      <scheme val="minor"/>
    </font>
    <font>
      <color theme="1"/>
      <name val="Roboto"/>
    </font>
    <font>
      <color rgb="FFFFFFFF"/>
      <name val="Roboto"/>
    </font>
    <font>
      <color rgb="FF434343"/>
      <name val="Roboto"/>
    </font>
    <font>
      <color theme="1"/>
      <name val="Arial"/>
    </font>
    <font>
      <color rgb="FF000000"/>
      <name val="Arial"/>
    </font>
    <font>
      <color rgb="FF11734B"/>
      <name val="Arial"/>
    </font>
    <font>
      <color rgb="FF005A55"/>
      <name val="Arial"/>
    </font>
    <font>
      <color rgb="FF434343"/>
      <name val="Arial"/>
    </font>
    <font>
      <color rgb="FFD4EDBC"/>
      <name val="Roboto"/>
    </font>
    <font>
      <color rgb="FF0A53A8"/>
      <name val="Arial"/>
    </font>
    <font>
      <color rgb="FF2A4AB0"/>
      <name val="Arial"/>
    </font>
    <font>
      <color rgb="FF753800"/>
      <name val="Arial"/>
    </font>
    <font>
      <b/>
      <sz val="11.0"/>
      <color rgb="FF1F1F1F"/>
      <name val="&quot;Google Sans&quot;"/>
    </font>
    <font>
      <color rgb="FF753800"/>
      <name val="Roboto"/>
    </font>
    <font>
      <color rgb="FF11734B"/>
      <name val="Roboto"/>
    </font>
    <font>
      <color rgb="FF005A55"/>
      <name val="Roboto"/>
    </font>
    <font>
      <color rgb="FF0A53A8"/>
      <name val="Roboto"/>
    </font>
    <font>
      <color rgb="FF2A4AB0"/>
      <name val="Roboto"/>
    </font>
    <font>
      <color theme="1"/>
      <name val="Arial"/>
      <scheme val="minor"/>
    </font>
  </fonts>
  <fills count="6">
    <fill>
      <patternFill patternType="none"/>
    </fill>
    <fill>
      <patternFill patternType="lightGray"/>
    </fill>
    <fill>
      <patternFill patternType="solid">
        <fgColor rgb="FF373F6B"/>
        <bgColor rgb="FF373F6B"/>
      </patternFill>
    </fill>
    <fill>
      <patternFill patternType="solid">
        <fgColor rgb="FFFFFFFF"/>
        <bgColor rgb="FFFFFFFF"/>
      </patternFill>
    </fill>
    <fill>
      <patternFill patternType="solid">
        <fgColor rgb="FFF6F8F9"/>
        <bgColor rgb="FFF6F8F9"/>
      </patternFill>
    </fill>
    <fill>
      <patternFill patternType="solid">
        <fgColor rgb="FFDDE3EA"/>
        <bgColor rgb="FFDDE3EA"/>
      </patternFill>
    </fill>
  </fills>
  <borders count="13">
    <border/>
    <border>
      <left style="thin">
        <color rgb="FF292F50"/>
      </left>
      <right style="thin">
        <color rgb="FF373F6B"/>
      </right>
      <top style="thin">
        <color rgb="FF292F50"/>
      </top>
      <bottom style="thin">
        <color rgb="FF292F50"/>
      </bottom>
    </border>
    <border>
      <left style="thin">
        <color rgb="FF373F6B"/>
      </left>
      <right style="thin">
        <color rgb="FF373F6B"/>
      </right>
      <top style="thin">
        <color rgb="FF292F50"/>
      </top>
      <bottom style="thin">
        <color rgb="FF292F50"/>
      </bottom>
    </border>
    <border>
      <left style="thin">
        <color rgb="FF373F6B"/>
      </left>
      <right style="thin">
        <color rgb="FF292F50"/>
      </right>
      <top style="thin">
        <color rgb="FF292F50"/>
      </top>
      <bottom style="thin">
        <color rgb="FF292F50"/>
      </bottom>
    </border>
    <border>
      <left style="thin">
        <color rgb="FF292F50"/>
      </left>
      <right style="thin">
        <color rgb="FFF6F8F9"/>
      </right>
      <top style="thin">
        <color rgb="FFF6F8F9"/>
      </top>
      <bottom style="thin">
        <color rgb="FFF6F8F9"/>
      </bottom>
    </border>
    <border>
      <left style="thin">
        <color rgb="FF292F50"/>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FFFFF"/>
      </left>
      <right style="thin">
        <color rgb="FF292F50"/>
      </right>
      <top style="thin">
        <color rgb="FFFFFFFF"/>
      </top>
      <bottom style="thin">
        <color rgb="FFFFFFFF"/>
      </bottom>
    </border>
    <border>
      <left style="thin">
        <color rgb="FFF6F8F9"/>
      </left>
      <right style="thin">
        <color rgb="FF292F50"/>
      </right>
      <top style="thin">
        <color rgb="FFF6F8F9"/>
      </top>
      <bottom style="thin">
        <color rgb="FFF6F8F9"/>
      </bottom>
    </border>
    <border>
      <left style="thin">
        <color rgb="FF292F50"/>
      </left>
      <right style="thin">
        <color rgb="FFFFFFFF"/>
      </right>
      <top style="thin">
        <color rgb="FFFFFFFF"/>
      </top>
      <bottom style="thin">
        <color rgb="FF292F50"/>
      </bottom>
    </border>
    <border>
      <left style="thin">
        <color rgb="FFFFFFFF"/>
      </left>
      <right style="thin">
        <color rgb="FFFFFFFF"/>
      </right>
      <top style="thin">
        <color rgb="FFFFFFFF"/>
      </top>
      <bottom style="thin">
        <color rgb="FF292F50"/>
      </bottom>
    </border>
    <border>
      <left style="thin">
        <color rgb="FFFFFFFF"/>
      </left>
      <right style="thin">
        <color rgb="FF292F50"/>
      </right>
      <top style="thin">
        <color rgb="FFFFFFFF"/>
      </top>
      <bottom style="thin">
        <color rgb="FF292F5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vertical="center" wrapText="0"/>
    </xf>
    <xf borderId="1" fillId="2" fontId="2" numFmtId="0" xfId="0" applyAlignment="1" applyBorder="1" applyFill="1" applyFont="1">
      <alignment horizontal="left" readingOrder="0" shrinkToFit="0" vertical="center" wrapText="1"/>
    </xf>
    <xf borderId="0" fillId="0" fontId="1" numFmtId="0" xfId="0" applyAlignment="1" applyFont="1">
      <alignment horizontal="left" readingOrder="0" shrinkToFit="0" vertical="center" wrapText="1"/>
    </xf>
    <xf borderId="2" fillId="2" fontId="2" numFmtId="0" xfId="0" applyAlignment="1" applyBorder="1" applyFill="1" applyFont="1">
      <alignment horizontal="left" readingOrder="0" shrinkToFit="0" vertical="center" wrapText="1"/>
    </xf>
    <xf borderId="0" fillId="0" fontId="1" numFmtId="0" xfId="0" applyAlignment="1" applyFont="1">
      <alignment horizontal="left" readingOrder="0" shrinkToFit="0" vertical="center" wrapText="0"/>
    </xf>
    <xf borderId="2" fillId="2" fontId="2" numFmtId="0" xfId="0" applyAlignment="1" applyBorder="1" applyFill="1" applyFont="1">
      <alignment horizontal="left" readingOrder="0" shrinkToFit="0" vertical="center" wrapText="0"/>
    </xf>
    <xf borderId="3" fillId="2" fontId="2" numFmtId="0" xfId="0" applyAlignment="1" applyBorder="1" applyFill="1" applyFont="1">
      <alignment horizontal="left" readingOrder="0" shrinkToFit="0" vertical="center" wrapText="0"/>
    </xf>
    <xf borderId="4" fillId="3" fontId="3" numFmtId="49" xfId="0" applyAlignment="1" applyBorder="1" applyFill="1" applyFont="1" applyNumberFormat="1">
      <alignment shrinkToFit="0" vertical="center" wrapText="0"/>
    </xf>
    <xf borderId="5" fillId="3" fontId="3" numFmtId="49" xfId="0" applyAlignment="1" applyBorder="1" applyFill="1" applyFont="1" applyNumberFormat="1">
      <alignment readingOrder="0" shrinkToFit="0" vertical="center" wrapText="0"/>
    </xf>
    <xf borderId="6" fillId="3" fontId="3" numFmtId="49" xfId="0" applyAlignment="1" applyBorder="1" applyFill="1" applyFont="1" applyNumberFormat="1">
      <alignment shrinkToFit="0" vertical="center" wrapText="0"/>
    </xf>
    <xf borderId="7" fillId="3" fontId="4" numFmtId="0" xfId="0" applyAlignment="1" applyBorder="1" applyFill="1" applyFont="1">
      <alignment readingOrder="0" shrinkToFit="0" vertical="center" wrapText="0"/>
    </xf>
    <xf borderId="6" fillId="3" fontId="3" numFmtId="0" xfId="0" applyAlignment="1" applyBorder="1" applyFill="1" applyFont="1">
      <alignment shrinkToFit="0" vertical="center" wrapText="0"/>
    </xf>
    <xf borderId="7" fillId="3" fontId="5" numFmtId="49" xfId="0" applyAlignment="1" applyBorder="1" applyFill="1" applyFont="1" applyNumberFormat="1">
      <alignment readingOrder="0" shrinkToFit="0" vertical="center" wrapText="0"/>
    </xf>
    <xf borderId="7" fillId="3" fontId="6" numFmtId="0" xfId="0" applyAlignment="1" applyBorder="1" applyFill="1" applyFont="1">
      <alignment shrinkToFit="0" vertical="center" wrapText="0"/>
    </xf>
    <xf borderId="7" fillId="3" fontId="7" numFmtId="0" xfId="0" applyAlignment="1" applyBorder="1" applyFill="1" applyFont="1">
      <alignment shrinkToFit="0" vertical="center" wrapText="0"/>
    </xf>
    <xf borderId="8" fillId="3" fontId="4" numFmtId="0" xfId="0" applyAlignment="1" applyBorder="1" applyFill="1" applyFont="1">
      <alignment readingOrder="0" shrinkToFit="0" vertical="center" wrapText="0"/>
    </xf>
    <xf borderId="7" fillId="3" fontId="8" numFmtId="164" xfId="0" applyAlignment="1" applyBorder="1" applyFill="1" applyFont="1" applyNumberFormat="1">
      <alignment horizontal="right" readingOrder="0" shrinkToFit="0" vertical="center" wrapText="0"/>
    </xf>
    <xf borderId="7" fillId="3" fontId="3" numFmtId="49" xfId="0" applyAlignment="1" applyBorder="1" applyFill="1" applyFont="1" applyNumberFormat="1">
      <alignment shrinkToFit="0" vertical="center" wrapText="0"/>
    </xf>
    <xf borderId="7" fillId="3" fontId="8" numFmtId="0" xfId="0" applyAlignment="1" applyBorder="1" applyFill="1" applyFont="1">
      <alignment readingOrder="0" shrinkToFit="0" vertical="center" wrapText="0"/>
    </xf>
    <xf borderId="7" fillId="3" fontId="8" numFmtId="0" xfId="0" applyAlignment="1" applyBorder="1" applyFill="1" applyFont="1">
      <alignment horizontal="right" readingOrder="0" shrinkToFit="0" vertical="center" wrapText="0"/>
    </xf>
    <xf borderId="6" fillId="3" fontId="3" numFmtId="164" xfId="0" applyAlignment="1" applyBorder="1" applyFill="1" applyFont="1" applyNumberFormat="1">
      <alignment horizontal="right" shrinkToFit="0" vertical="center" wrapText="0"/>
    </xf>
    <xf borderId="4" fillId="4" fontId="3" numFmtId="49" xfId="0" applyAlignment="1" applyBorder="1" applyFill="1" applyFont="1" applyNumberFormat="1">
      <alignment readingOrder="0" shrinkToFit="0" vertical="center" wrapText="0"/>
    </xf>
    <xf borderId="6" fillId="3" fontId="9" numFmtId="0" xfId="0" applyAlignment="1" applyBorder="1" applyFill="1" applyFont="1">
      <alignment shrinkToFit="0" vertical="center" wrapText="0"/>
    </xf>
    <xf borderId="7" fillId="3" fontId="8" numFmtId="0" xfId="0" applyAlignment="1" applyBorder="1" applyFill="1" applyFont="1">
      <alignment horizontal="right" readingOrder="0" shrinkToFit="0" vertical="center" wrapText="0"/>
    </xf>
    <xf borderId="6" fillId="4" fontId="4" numFmtId="0" xfId="0" applyAlignment="1" applyBorder="1" applyFill="1" applyFont="1">
      <alignment readingOrder="0" shrinkToFit="0" vertical="center" wrapText="0"/>
    </xf>
    <xf borderId="7" fillId="3" fontId="8" numFmtId="49" xfId="0" applyAlignment="1" applyBorder="1" applyFill="1" applyFont="1" applyNumberFormat="1">
      <alignment readingOrder="0" shrinkToFit="0" vertical="center" wrapText="0"/>
    </xf>
    <xf borderId="9" fillId="3" fontId="3" numFmtId="0" xfId="0" applyAlignment="1" applyBorder="1" applyFill="1" applyFont="1">
      <alignment shrinkToFit="0" vertical="center" wrapText="0"/>
    </xf>
    <xf borderId="6" fillId="4" fontId="4" numFmtId="49" xfId="0" applyAlignment="1" applyBorder="1" applyFill="1" applyFont="1" applyNumberFormat="1">
      <alignment readingOrder="0" shrinkToFit="0" vertical="center" wrapText="0"/>
    </xf>
    <xf borderId="7" fillId="3" fontId="8" numFmtId="0" xfId="0" applyAlignment="1" applyBorder="1" applyFill="1" applyFont="1">
      <alignment readingOrder="0" shrinkToFit="0" vertical="center" wrapText="0"/>
    </xf>
    <xf borderId="8" fillId="3" fontId="8" numFmtId="0" xfId="0" applyAlignment="1" applyBorder="1" applyFill="1" applyFont="1">
      <alignment readingOrder="0" shrinkToFit="0" vertical="center" wrapText="0"/>
    </xf>
    <xf borderId="4" fillId="4" fontId="3" numFmtId="49" xfId="0" applyAlignment="1" applyBorder="1" applyFill="1" applyFont="1" applyNumberFormat="1">
      <alignment shrinkToFit="0" vertical="center" wrapText="0"/>
    </xf>
    <xf borderId="6" fillId="4" fontId="10" numFmtId="0" xfId="0" applyAlignment="1" applyBorder="1" applyFill="1" applyFont="1">
      <alignment shrinkToFit="0" vertical="center" wrapText="0"/>
    </xf>
    <xf borderId="6" fillId="4" fontId="3" numFmtId="49" xfId="0" applyAlignment="1" applyBorder="1" applyFill="1" applyFont="1" applyNumberFormat="1">
      <alignment shrinkToFit="0" vertical="center" wrapText="0"/>
    </xf>
    <xf borderId="6" fillId="4" fontId="11" numFmtId="0" xfId="0" applyAlignment="1" applyBorder="1" applyFill="1" applyFont="1">
      <alignment shrinkToFit="0" vertical="center" wrapText="0"/>
    </xf>
    <xf borderId="6" fillId="4" fontId="3" numFmtId="0" xfId="0" applyAlignment="1" applyBorder="1" applyFill="1" applyFont="1">
      <alignment shrinkToFit="0" vertical="center" wrapText="0"/>
    </xf>
    <xf borderId="6" fillId="4" fontId="8" numFmtId="0" xfId="0" applyAlignment="1" applyBorder="1" applyFill="1" applyFont="1">
      <alignment readingOrder="0" shrinkToFit="0" vertical="center" wrapText="0"/>
    </xf>
    <xf borderId="7" fillId="3" fontId="4" numFmtId="49" xfId="0" applyAlignment="1" applyBorder="1" applyFill="1" applyFont="1" applyNumberFormat="1">
      <alignment readingOrder="0" shrinkToFit="0" vertical="center" wrapText="0"/>
    </xf>
    <xf borderId="6" fillId="4" fontId="8" numFmtId="0" xfId="0" applyAlignment="1" applyBorder="1" applyFill="1" applyFont="1">
      <alignment horizontal="right" readingOrder="0" shrinkToFit="0" vertical="center" wrapText="0"/>
    </xf>
    <xf borderId="6" fillId="4" fontId="3" numFmtId="164" xfId="0" applyAlignment="1" applyBorder="1" applyFill="1" applyFont="1" applyNumberFormat="1">
      <alignment horizontal="right" shrinkToFit="0" vertical="center" wrapText="0"/>
    </xf>
    <xf borderId="6" fillId="4" fontId="9" numFmtId="0" xfId="0" applyAlignment="1" applyBorder="1" applyFill="1" applyFont="1">
      <alignment shrinkToFit="0" vertical="center" wrapText="0"/>
    </xf>
    <xf borderId="6" fillId="4" fontId="8" numFmtId="0" xfId="0" applyAlignment="1" applyBorder="1" applyFill="1" applyFont="1">
      <alignment horizontal="right" readingOrder="0" shrinkToFit="0" vertical="center" wrapText="0"/>
    </xf>
    <xf borderId="6" fillId="4" fontId="8" numFmtId="49" xfId="0" applyAlignment="1" applyBorder="1" applyFill="1" applyFont="1" applyNumberFormat="1">
      <alignment readingOrder="0" shrinkToFit="0" vertical="center" wrapText="0"/>
    </xf>
    <xf borderId="9" fillId="4" fontId="3" numFmtId="0" xfId="0" applyAlignment="1" applyBorder="1" applyFill="1" applyFont="1">
      <alignment shrinkToFit="0" vertical="center" wrapText="0"/>
    </xf>
    <xf borderId="7" fillId="3" fontId="3" numFmtId="0" xfId="0" applyAlignment="1" applyBorder="1" applyFill="1" applyFont="1">
      <alignment horizontal="right" shrinkToFit="0" vertical="center" wrapText="0"/>
    </xf>
    <xf borderId="6" fillId="4" fontId="8" numFmtId="0" xfId="0" applyAlignment="1" applyBorder="1" applyFill="1" applyFont="1">
      <alignment readingOrder="0" shrinkToFit="0" vertical="center" wrapText="0"/>
    </xf>
    <xf borderId="9" fillId="4" fontId="8" numFmtId="0" xfId="0" applyAlignment="1" applyBorder="1" applyFill="1" applyFont="1">
      <alignment readingOrder="0" shrinkToFit="0" vertical="center" wrapText="0"/>
    </xf>
    <xf borderId="5" fillId="3" fontId="3" numFmtId="49" xfId="0" applyAlignment="1" applyBorder="1" applyFill="1" applyFont="1" applyNumberFormat="1">
      <alignment shrinkToFit="0" vertical="center" wrapText="0"/>
    </xf>
    <xf borderId="10" fillId="3" fontId="3" numFmtId="49" xfId="0" applyAlignment="1" applyBorder="1" applyFill="1" applyFont="1" applyNumberFormat="1">
      <alignment shrinkToFit="0" vertical="center" wrapText="0"/>
    </xf>
    <xf borderId="7" fillId="3" fontId="12" numFmtId="0" xfId="0" applyAlignment="1" applyBorder="1" applyFill="1" applyFont="1">
      <alignment shrinkToFit="0" vertical="center" wrapText="0"/>
    </xf>
    <xf borderId="11" fillId="3" fontId="4" numFmtId="49" xfId="0" applyAlignment="1" applyBorder="1" applyFill="1" applyFont="1" applyNumberFormat="1">
      <alignment shrinkToFit="0" vertical="center" wrapText="0"/>
    </xf>
    <xf borderId="11" fillId="3" fontId="3" numFmtId="0" xfId="0" applyAlignment="1" applyBorder="1" applyFill="1" applyFont="1">
      <alignment shrinkToFit="0" vertical="center" wrapText="0"/>
    </xf>
    <xf borderId="11" fillId="3" fontId="3" numFmtId="49" xfId="0" applyAlignment="1" applyBorder="1" applyFill="1" applyFont="1" applyNumberFormat="1">
      <alignment shrinkToFit="0" vertical="center" wrapText="0"/>
    </xf>
    <xf borderId="11" fillId="3" fontId="3" numFmtId="164" xfId="0" applyAlignment="1" applyBorder="1" applyFill="1" applyFont="1" applyNumberFormat="1">
      <alignment horizontal="right" shrinkToFit="0" vertical="center" wrapText="0"/>
    </xf>
    <xf borderId="11" fillId="3" fontId="9" numFmtId="0" xfId="0" applyAlignment="1" applyBorder="1" applyFill="1" applyFont="1">
      <alignment shrinkToFit="0" vertical="center" wrapText="0"/>
    </xf>
    <xf borderId="12" fillId="3" fontId="3" numFmtId="0" xfId="0" applyAlignment="1" applyBorder="1" applyFill="1" applyFont="1">
      <alignment shrinkToFit="0" vertical="center" wrapText="0"/>
    </xf>
    <xf borderId="8" fillId="3" fontId="3" numFmtId="0" xfId="0" applyAlignment="1" applyBorder="1" applyFill="1" applyFont="1">
      <alignment shrinkToFit="0" vertical="center" wrapText="0"/>
    </xf>
    <xf borderId="0" fillId="5" fontId="13" numFmtId="0" xfId="0" applyAlignment="1" applyFill="1" applyFont="1">
      <alignment readingOrder="0" shrinkToFit="0" vertical="center" wrapText="0"/>
    </xf>
    <xf borderId="6" fillId="4" fontId="6" numFmtId="0" xfId="0" applyAlignment="1" applyBorder="1" applyFill="1" applyFont="1">
      <alignment shrinkToFit="0" vertical="center" wrapText="0"/>
    </xf>
    <xf borderId="6" fillId="4" fontId="7" numFmtId="0" xfId="0" applyAlignment="1" applyBorder="1" applyFill="1" applyFont="1">
      <alignment shrinkToFit="0" vertical="center" wrapText="0"/>
    </xf>
    <xf borderId="7" fillId="3" fontId="10" numFmtId="0" xfId="0" applyAlignment="1" applyBorder="1" applyFill="1" applyFont="1">
      <alignment shrinkToFit="0" vertical="center" wrapText="0"/>
    </xf>
    <xf borderId="7" fillId="3" fontId="11" numFmtId="0" xfId="0" applyAlignment="1" applyBorder="1" applyFill="1" applyFont="1">
      <alignment shrinkToFit="0" vertical="center" wrapText="0"/>
    </xf>
    <xf borderId="7" fillId="3" fontId="4" numFmtId="0" xfId="0" applyAlignment="1" applyBorder="1" applyFill="1" applyFont="1">
      <alignment shrinkToFit="0" vertical="center" wrapText="0"/>
    </xf>
    <xf borderId="7" fillId="3" fontId="4" numFmtId="49" xfId="0" applyAlignment="1" applyBorder="1" applyFill="1" applyFont="1" applyNumberFormat="1">
      <alignment shrinkToFit="0" vertical="center" wrapText="0"/>
    </xf>
    <xf borderId="6" fillId="4" fontId="14" numFmtId="0" xfId="0" applyAlignment="1" applyBorder="1" applyFill="1" applyFont="1">
      <alignment shrinkToFit="0" vertical="center" wrapText="0"/>
    </xf>
    <xf borderId="7" fillId="3" fontId="4" numFmtId="0" xfId="0" applyAlignment="1" applyBorder="1" applyFill="1" applyFont="1">
      <alignment shrinkToFit="0" vertical="center" wrapText="0"/>
    </xf>
    <xf borderId="8" fillId="3" fontId="4" numFmtId="0" xfId="0" applyAlignment="1" applyBorder="1" applyFill="1" applyFont="1">
      <alignment shrinkToFit="0" vertical="center" wrapText="0"/>
    </xf>
    <xf borderId="6" fillId="4" fontId="3" numFmtId="0" xfId="0" applyAlignment="1" applyBorder="1" applyFill="1" applyFont="1">
      <alignment readingOrder="0" shrinkToFit="0" vertical="center" wrapText="0"/>
    </xf>
    <xf borderId="6" fillId="4" fontId="3" numFmtId="0" xfId="0" applyAlignment="1" applyBorder="1" applyFill="1" applyFont="1">
      <alignment horizontal="right" readingOrder="0" shrinkToFit="0" vertical="center" wrapText="0"/>
    </xf>
    <xf borderId="6" fillId="4" fontId="3" numFmtId="0" xfId="0" applyAlignment="1" applyBorder="1" applyFill="1" applyFont="1">
      <alignment horizontal="right" readingOrder="0" shrinkToFit="0" vertical="center" wrapText="0"/>
    </xf>
    <xf borderId="6" fillId="4" fontId="5" numFmtId="49" xfId="0" applyAlignment="1" applyBorder="1" applyFill="1" applyFont="1" applyNumberFormat="1">
      <alignment readingOrder="0" shrinkToFit="0" vertical="center" wrapText="0"/>
    </xf>
    <xf borderId="6" fillId="4" fontId="4" numFmtId="0" xfId="0" applyAlignment="1" applyBorder="1" applyFill="1" applyFont="1">
      <alignment shrinkToFit="0" vertical="center" wrapText="0"/>
    </xf>
    <xf borderId="6" fillId="4" fontId="3" numFmtId="49" xfId="0" applyAlignment="1" applyBorder="1" applyFill="1" applyFont="1" applyNumberFormat="1">
      <alignment readingOrder="0" shrinkToFit="0" vertical="center" wrapText="0"/>
    </xf>
    <xf borderId="6" fillId="4" fontId="4" numFmtId="49" xfId="0" applyAlignment="1" applyBorder="1" applyFill="1" applyFont="1" applyNumberFormat="1">
      <alignment shrinkToFit="0" vertical="center" wrapText="0"/>
    </xf>
    <xf borderId="6" fillId="4" fontId="3" numFmtId="0" xfId="0" applyAlignment="1" applyBorder="1" applyFill="1" applyFont="1">
      <alignment readingOrder="0" shrinkToFit="0" vertical="center" wrapText="0"/>
    </xf>
    <xf borderId="6" fillId="4" fontId="4" numFmtId="0" xfId="0" applyAlignment="1" applyBorder="1" applyFill="1" applyFont="1">
      <alignment shrinkToFit="0" vertical="center" wrapText="0"/>
    </xf>
    <xf borderId="9" fillId="4" fontId="4" numFmtId="0" xfId="0" applyAlignment="1" applyBorder="1" applyFill="1" applyFont="1">
      <alignment shrinkToFit="0" vertical="center" wrapText="0"/>
    </xf>
    <xf borderId="9" fillId="4" fontId="3" numFmtId="0" xfId="0" applyAlignment="1" applyBorder="1" applyFill="1" applyFont="1">
      <alignment readingOrder="0" shrinkToFit="0" vertical="center" wrapText="0"/>
    </xf>
    <xf borderId="7" fillId="3" fontId="15" numFmtId="0" xfId="0" applyAlignment="1" applyBorder="1" applyFill="1" applyFont="1">
      <alignment shrinkToFit="0" vertical="center" wrapText="0"/>
    </xf>
    <xf borderId="7" fillId="3" fontId="16" numFmtId="0" xfId="0" applyAlignment="1" applyBorder="1" applyFill="1" applyFont="1">
      <alignment shrinkToFit="0" vertical="center" wrapText="0"/>
    </xf>
    <xf borderId="7" fillId="3" fontId="3" numFmtId="0" xfId="0" applyAlignment="1" applyBorder="1" applyFill="1" applyFont="1">
      <alignment readingOrder="0" shrinkToFit="0" vertical="center" wrapText="0"/>
    </xf>
    <xf borderId="7" fillId="3" fontId="3" numFmtId="0" xfId="0" applyAlignment="1" applyBorder="1" applyFill="1" applyFont="1">
      <alignment horizontal="right" readingOrder="0" shrinkToFit="0" vertical="center" wrapText="0"/>
    </xf>
    <xf borderId="7" fillId="3" fontId="3" numFmtId="0" xfId="0" applyAlignment="1" applyBorder="1" applyFill="1" applyFont="1">
      <alignment horizontal="right" readingOrder="0" shrinkToFit="0" vertical="center" wrapText="0"/>
    </xf>
    <xf borderId="7" fillId="3" fontId="3" numFmtId="49" xfId="0" applyAlignment="1" applyBorder="1" applyFill="1" applyFont="1" applyNumberFormat="1">
      <alignment readingOrder="0" shrinkToFit="0" vertical="center" wrapText="0"/>
    </xf>
    <xf borderId="7" fillId="3" fontId="3" numFmtId="0" xfId="0" applyAlignment="1" applyBorder="1" applyFill="1" applyFont="1">
      <alignment readingOrder="0" shrinkToFit="0" vertical="center" wrapText="0"/>
    </xf>
    <xf borderId="8" fillId="3" fontId="3" numFmtId="0" xfId="0" applyAlignment="1" applyBorder="1" applyFill="1" applyFont="1">
      <alignment readingOrder="0" shrinkToFit="0" vertical="center" wrapText="0"/>
    </xf>
    <xf borderId="6" fillId="4" fontId="17" numFmtId="0" xfId="0" applyAlignment="1" applyBorder="1" applyFill="1" applyFont="1">
      <alignment shrinkToFit="0" vertical="center" wrapText="0"/>
    </xf>
    <xf borderId="6" fillId="4" fontId="18" numFmtId="0" xfId="0" applyAlignment="1" applyBorder="1" applyFill="1" applyFont="1">
      <alignment shrinkToFit="0" vertical="center" wrapText="0"/>
    </xf>
    <xf borderId="8" fillId="3" fontId="3" numFmtId="0" xfId="0" applyAlignment="1" applyBorder="1" applyFill="1" applyFont="1">
      <alignment readingOrder="0" shrinkToFit="0" vertical="center" wrapText="0"/>
    </xf>
    <xf borderId="9" fillId="4" fontId="3" numFmtId="0" xfId="0" applyAlignment="1" applyBorder="1" applyFill="1" applyFont="1">
      <alignment readingOrder="0" shrinkToFit="0" vertical="center" wrapText="0"/>
    </xf>
    <xf borderId="7" fillId="3" fontId="14" numFmtId="0" xfId="0" applyAlignment="1" applyBorder="1" applyFill="1" applyFont="1">
      <alignment shrinkToFit="0" vertical="center" wrapText="0"/>
    </xf>
    <xf borderId="6" fillId="4" fontId="15" numFmtId="0" xfId="0" applyAlignment="1" applyBorder="1" applyFill="1" applyFont="1">
      <alignment shrinkToFit="0" vertical="center" wrapText="0"/>
    </xf>
    <xf borderId="6" fillId="4" fontId="16" numFmtId="0" xfId="0" applyAlignment="1" applyBorder="1" applyFill="1" applyFont="1">
      <alignment shrinkToFit="0" vertical="center" wrapText="0"/>
    </xf>
    <xf borderId="0" fillId="0" fontId="19" numFmtId="49" xfId="0" applyAlignment="1" applyFont="1" applyNumberFormat="1">
      <alignment readingOrder="0" shrinkToFit="0" vertical="center" wrapText="0"/>
    </xf>
    <xf borderId="7" fillId="3" fontId="17" numFmtId="0" xfId="0" applyAlignment="1" applyBorder="1" applyFill="1" applyFont="1">
      <alignment shrinkToFit="0" vertical="center" wrapText="0"/>
    </xf>
    <xf borderId="7" fillId="3" fontId="18" numFmtId="0" xfId="0" applyAlignment="1" applyBorder="1" applyFill="1" applyFont="1">
      <alignment shrinkToFit="0" vertical="center" wrapText="0"/>
    </xf>
    <xf borderId="7" fillId="3" fontId="3" numFmtId="0" xfId="0" applyAlignment="1" applyBorder="1" applyFill="1" applyFont="1">
      <alignment horizontal="right" shrinkToFit="0" vertical="center" wrapText="0"/>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6">
    <tableStyle count="4" pivot="0" name="Respostas LLM-style">
      <tableStyleElement dxfId="1" type="headerRow"/>
      <tableStyleElement dxfId="2" type="firstRowStripe"/>
      <tableStyleElement dxfId="3" type="secondRowStripe"/>
      <tableStyleElement dxfId="4" size="0" type="wholeTable"/>
    </tableStyle>
    <tableStyle count="4" pivot="0" name="Consenso-style">
      <tableStyleElement dxfId="1" type="headerRow"/>
      <tableStyleElement dxfId="2" type="firstRowStripe"/>
      <tableStyleElement dxfId="3" type="secondRowStripe"/>
      <tableStyleElement dxfId="4" size="0" type="wholeTable"/>
    </tableStyle>
    <tableStyle count="4" pivot="0" name="Questões-style">
      <tableStyleElement dxfId="1" type="headerRow"/>
      <tableStyleElement dxfId="2" type="firstRowStripe"/>
      <tableStyleElement dxfId="3" type="secondRowStripe"/>
      <tableStyleElement dxfId="4" size="0" type="wholeTable"/>
    </tableStyle>
    <tableStyle count="4" pivot="0" name="Prompts-style">
      <tableStyleElement dxfId="1" type="headerRow"/>
      <tableStyleElement dxfId="2" type="firstRowStripe"/>
      <tableStyleElement dxfId="3" type="secondRowStripe"/>
      <tableStyleElement dxfId="4" size="0" type="wholeTable"/>
    </tableStyle>
    <tableStyle count="4" pivot="0" name="Gabarito Final-style">
      <tableStyleElement dxfId="1" type="headerRow"/>
      <tableStyleElement dxfId="2" type="firstRowStripe"/>
      <tableStyleElement dxfId="3" type="secondRowStripe"/>
      <tableStyleElement dxfId="4" size="0" type="wholeTable"/>
    </tableStyle>
    <tableStyle count="4" pivot="0" name="Gabarito_INE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4" displayName="Questões" name="Questões" id="2">
  <tableColumns count="5">
    <tableColumn name="Questão " id="1"/>
    <tableColumn name="Tipo" id="2"/>
    <tableColumn name="Enunciado" id="3"/>
    <tableColumn name="Possui figura?" id="4"/>
    <tableColumn name="Situação" id="5"/>
  </tableColumns>
  <tableStyleInfo name="Questões-style" showColumnStripes="0" showFirstColumn="1" showLastColumn="1" showRowStripes="1"/>
</table>
</file>

<file path=xl/tables/table2.xml><?xml version="1.0" encoding="utf-8"?>
<table xmlns="http://schemas.openxmlformats.org/spreadsheetml/2006/main" ref="A1:O40" displayName="Respostas_LLM" name="Respostas_LLM" id="3">
  <tableColumns count="15">
    <tableColumn name="Questão" id="1"/>
    <tableColumn name="LLM" id="2"/>
    <tableColumn name="Modelo" id="3"/>
    <tableColumn name="Data" id="4"/>
    <tableColumn name="Alternativa" id="5"/>
    <tableColumn name="Confiança" id="6"/>
    <tableColumn name="Dificuldade" id="7"/>
    <tableColumn name="Ambiguidade" id="8"/>
    <tableColumn name="Força dos distratores" id="9"/>
    <tableColumn name="Tema" id="10"/>
    <tableColumn name="Subtema" id="11"/>
    <tableColumn name="Justificativa da resposta" id="12"/>
    <tableColumn name="Análise das alternativas" id="13"/>
    <tableColumn name="Justificativa da ambiguidade" id="14"/>
    <tableColumn name="Justificativa dos distratores" id="15"/>
  </tableColumns>
  <tableStyleInfo name="Respostas LLM-style" showColumnStripes="0" showFirstColumn="1" showLastColumn="1" showRowStripes="1"/>
</table>
</file>

<file path=xl/tables/table3.xml><?xml version="1.0" encoding="utf-8"?>
<table xmlns="http://schemas.openxmlformats.org/spreadsheetml/2006/main" ref="A1:O14" displayName="Consenso" name="Consenso" id="1">
  <tableColumns count="15">
    <tableColumn name="Questão " id="1"/>
    <tableColumn name="ChatGPT" id="2"/>
    <tableColumn name="Gemini" id="3"/>
    <tableColumn name="Claude" id="4"/>
    <tableColumn name="Consenso" id="5"/>
    <tableColumn name="Resposta Majoritária" id="6"/>
    <tableColumn name="Gabarito INEP" id="7"/>
    <tableColumn name="Acertos" id="8"/>
    <tableColumn name="Confiança média" id="9"/>
    <tableColumn name="Dificuldade média" id="10"/>
    <tableColumn name="Ambiguidade média" id="11"/>
    <tableColumn name="Ambiguidade máxima" id="12"/>
    <tableColumn name="Força dos distratores média" id="13"/>
    <tableColumn name="Concorda com INEP?" id="14"/>
    <tableColumn name="Classificação do resultado" id="15"/>
  </tableColumns>
  <tableStyleInfo name="Consenso-style" showColumnStripes="0" showFirstColumn="1" showLastColumn="1" showRowStripes="1"/>
</table>
</file>

<file path=xl/tables/table4.xml><?xml version="1.0" encoding="utf-8"?>
<table xmlns="http://schemas.openxmlformats.org/spreadsheetml/2006/main" ref="A1:G4" displayName="Prompts" name="Prompts" id="4">
  <tableColumns count="7">
    <tableColumn name="Nome do prompt" id="1"/>
    <tableColumn name="Versão" id="2"/>
    <tableColumn name="Finalidade" id="3"/>
    <tableColumn name="Modelos utilizados" id="4"/>
    <tableColumn name="Data de início" id="5"/>
    <tableColumn name="Status" id="6"/>
    <tableColumn name="Texto completo do prompt" id="7"/>
  </tableColumns>
  <tableStyleInfo name="Prompts-style" showColumnStripes="0" showFirstColumn="1" showLastColumn="1" showRowStripes="1"/>
</table>
</file>

<file path=xl/tables/table5.xml><?xml version="1.0" encoding="utf-8"?>
<table xmlns="http://schemas.openxmlformats.org/spreadsheetml/2006/main" ref="A1:G14" displayName="Gabarito_Final" name="Gabarito_Final" id="5">
  <tableColumns count="7">
    <tableColumn name="Questão " id="1"/>
    <tableColumn name="Gabarito INEP" id="2"/>
    <tableColumn name="Resposta-base" id="3"/>
    <tableColumn name="Situação" id="4"/>
    <tableColumn name="Modelo(s)-base" id="5"/>
    <tableColumn name="Gabarito comentado final" id="6"/>
    <tableColumn name="Status" id="7"/>
  </tableColumns>
  <tableStyleInfo name="Gabarito Final-style" showColumnStripes="0" showFirstColumn="1" showLastColumn="1" showRowStripes="1"/>
</table>
</file>

<file path=xl/tables/table6.xml><?xml version="1.0" encoding="utf-8"?>
<table xmlns="http://schemas.openxmlformats.org/spreadsheetml/2006/main" ref="A1:B14" displayName="Gabarito_INEP" name="Gabarito_INEP" id="6">
  <tableColumns count="2">
    <tableColumn name="Questão " id="1"/>
    <tableColumn name="Gabarito INEP" id="2"/>
  </tableColumns>
  <tableStyleInfo name="Gabarito_INE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11.38"/>
    <col customWidth="1" min="3" max="3" width="17.75"/>
    <col customWidth="1" min="4" max="4" width="9.88"/>
    <col customWidth="1" min="5" max="5" width="20.38"/>
    <col customWidth="1" min="6" max="6" width="21.88"/>
    <col customWidth="1" min="7" max="7" width="26.88"/>
  </cols>
  <sheetData>
    <row r="1" ht="22.5" customHeight="1">
      <c r="A1" s="2" t="s">
        <v>1</v>
      </c>
      <c r="B1" s="4" t="s">
        <v>4</v>
      </c>
      <c r="C1" s="4" t="s">
        <v>7</v>
      </c>
      <c r="D1" s="6" t="s">
        <v>17</v>
      </c>
      <c r="E1" s="7" t="s">
        <v>24</v>
      </c>
    </row>
    <row r="2" ht="26.25" customHeight="1">
      <c r="A2" s="9" t="s">
        <v>31</v>
      </c>
      <c r="B2" s="11" t="s">
        <v>41</v>
      </c>
      <c r="C2" s="13" t="s">
        <v>48</v>
      </c>
      <c r="D2" s="11" t="s">
        <v>49</v>
      </c>
      <c r="E2" s="16" t="s">
        <v>51</v>
      </c>
    </row>
    <row r="3" ht="26.25" customHeight="1">
      <c r="A3" s="22" t="s">
        <v>53</v>
      </c>
      <c r="B3" s="25" t="s">
        <v>55</v>
      </c>
      <c r="C3" s="28" t="s">
        <v>58</v>
      </c>
      <c r="D3" s="25" t="s">
        <v>49</v>
      </c>
      <c r="E3" s="16" t="s">
        <v>51</v>
      </c>
    </row>
    <row r="4" ht="26.25" customHeight="1">
      <c r="A4" s="22" t="s">
        <v>65</v>
      </c>
      <c r="B4" s="25" t="s">
        <v>55</v>
      </c>
      <c r="C4" s="28" t="s">
        <v>66</v>
      </c>
      <c r="D4" s="25" t="s">
        <v>49</v>
      </c>
      <c r="E4" s="16" t="s">
        <v>51</v>
      </c>
    </row>
    <row r="5" ht="26.25" customHeight="1">
      <c r="A5" s="9" t="s">
        <v>69</v>
      </c>
      <c r="B5" s="25" t="s">
        <v>55</v>
      </c>
      <c r="C5" s="37" t="s">
        <v>72</v>
      </c>
      <c r="D5" s="11" t="s">
        <v>49</v>
      </c>
      <c r="E5" s="16" t="s">
        <v>51</v>
      </c>
    </row>
    <row r="6" ht="26.25" customHeight="1">
      <c r="A6" s="22" t="s">
        <v>73</v>
      </c>
      <c r="B6" s="25" t="s">
        <v>55</v>
      </c>
      <c r="C6" s="28" t="s">
        <v>74</v>
      </c>
      <c r="D6" s="25" t="s">
        <v>49</v>
      </c>
      <c r="E6" s="16" t="s">
        <v>51</v>
      </c>
    </row>
    <row r="7" ht="26.25" customHeight="1">
      <c r="A7" s="9" t="s">
        <v>80</v>
      </c>
      <c r="B7" s="25" t="s">
        <v>55</v>
      </c>
      <c r="C7" s="37" t="s">
        <v>82</v>
      </c>
      <c r="D7" s="11" t="s">
        <v>83</v>
      </c>
      <c r="E7" s="16" t="s">
        <v>51</v>
      </c>
    </row>
    <row r="8" ht="26.25" customHeight="1">
      <c r="A8" s="22" t="s">
        <v>85</v>
      </c>
      <c r="B8" s="25" t="s">
        <v>55</v>
      </c>
      <c r="C8" s="28" t="s">
        <v>86</v>
      </c>
      <c r="D8" s="25" t="s">
        <v>49</v>
      </c>
      <c r="E8" s="16" t="s">
        <v>51</v>
      </c>
    </row>
    <row r="9" ht="26.25" customHeight="1">
      <c r="A9" s="47" t="s">
        <v>87</v>
      </c>
      <c r="B9" s="25" t="s">
        <v>55</v>
      </c>
      <c r="C9" s="37" t="s">
        <v>88</v>
      </c>
      <c r="D9" s="11" t="s">
        <v>49</v>
      </c>
      <c r="E9" s="16" t="s">
        <v>51</v>
      </c>
    </row>
    <row r="10" ht="26.25" customHeight="1">
      <c r="A10" s="31" t="s">
        <v>91</v>
      </c>
      <c r="B10" s="25" t="s">
        <v>55</v>
      </c>
      <c r="C10" s="28" t="s">
        <v>92</v>
      </c>
      <c r="D10" s="25" t="s">
        <v>49</v>
      </c>
      <c r="E10" s="16" t="s">
        <v>51</v>
      </c>
    </row>
    <row r="11" ht="26.25" customHeight="1">
      <c r="A11" s="9" t="s">
        <v>94</v>
      </c>
      <c r="B11" s="25" t="s">
        <v>55</v>
      </c>
      <c r="C11" s="37" t="s">
        <v>96</v>
      </c>
      <c r="D11" s="11" t="s">
        <v>49</v>
      </c>
      <c r="E11" s="16" t="s">
        <v>51</v>
      </c>
    </row>
    <row r="12" ht="26.25" customHeight="1">
      <c r="A12" s="22" t="s">
        <v>100</v>
      </c>
      <c r="B12" s="25" t="s">
        <v>55</v>
      </c>
      <c r="C12" s="28" t="s">
        <v>102</v>
      </c>
      <c r="D12" s="25" t="s">
        <v>49</v>
      </c>
      <c r="E12" s="16" t="s">
        <v>51</v>
      </c>
    </row>
    <row r="13" ht="26.25" customHeight="1">
      <c r="A13" s="47" t="s">
        <v>104</v>
      </c>
      <c r="B13" s="25" t="s">
        <v>55</v>
      </c>
      <c r="C13" s="37" t="s">
        <v>106</v>
      </c>
      <c r="D13" s="57" t="s">
        <v>107</v>
      </c>
      <c r="E13" s="16" t="s">
        <v>51</v>
      </c>
    </row>
    <row r="14" ht="26.25" customHeight="1">
      <c r="A14" s="22" t="s">
        <v>108</v>
      </c>
      <c r="B14" s="25" t="s">
        <v>55</v>
      </c>
      <c r="C14" s="28" t="s">
        <v>109</v>
      </c>
      <c r="D14" s="25" t="s">
        <v>83</v>
      </c>
      <c r="E14" s="16" t="s">
        <v>51</v>
      </c>
    </row>
  </sheetData>
  <dataValidations>
    <dataValidation type="list" allowBlank="1" sqref="D2:D14">
      <formula1>"Sim,Não"</formula1>
    </dataValidation>
    <dataValidation allowBlank="1" showDropDown="1" sqref="A2:A14"/>
    <dataValidation type="list" allowBlank="1" sqref="B2:B14">
      <formula1>"Formação Geral,Componente Específico "</formula1>
    </dataValidation>
    <dataValidation allowBlank="1" showDropDown="1" sqref="C2:C14"/>
    <dataValidation type="list" allowBlank="1" sqref="E2:E14">
      <formula1>"Não iniciada,Em resolução pelas LLMs,Judge concluído,Em revisão humana,Finalizada"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3" t="s">
        <v>2</v>
      </c>
      <c r="C1" s="3" t="s">
        <v>5</v>
      </c>
      <c r="D1" s="3" t="s">
        <v>9</v>
      </c>
      <c r="E1" s="3" t="s">
        <v>12</v>
      </c>
      <c r="F1" s="5" t="s">
        <v>15</v>
      </c>
      <c r="G1" s="5" t="s">
        <v>19</v>
      </c>
      <c r="H1" s="5" t="s">
        <v>27</v>
      </c>
      <c r="I1" s="5" t="s">
        <v>30</v>
      </c>
      <c r="J1" s="5" t="s">
        <v>33</v>
      </c>
      <c r="K1" s="5" t="s">
        <v>35</v>
      </c>
      <c r="L1" s="5" t="s">
        <v>37</v>
      </c>
      <c r="M1" s="5" t="s">
        <v>40</v>
      </c>
      <c r="N1" s="5" t="s">
        <v>43</v>
      </c>
      <c r="O1" s="5" t="s">
        <v>45</v>
      </c>
    </row>
    <row r="2" ht="26.25" customHeight="1">
      <c r="A2" s="9" t="s">
        <v>46</v>
      </c>
      <c r="B2" s="14" t="s">
        <v>6</v>
      </c>
      <c r="C2" s="15" t="s">
        <v>50</v>
      </c>
      <c r="D2" s="17">
        <v>46287.0</v>
      </c>
      <c r="E2" s="19" t="s">
        <v>52</v>
      </c>
      <c r="F2" s="20">
        <v>98.0</v>
      </c>
      <c r="G2" s="20">
        <v>3.0</v>
      </c>
      <c r="H2" s="20">
        <v>0.0</v>
      </c>
      <c r="I2" s="24">
        <v>2.0</v>
      </c>
      <c r="J2" s="26" t="s">
        <v>56</v>
      </c>
      <c r="K2" s="26" t="s">
        <v>59</v>
      </c>
      <c r="L2" s="29" t="s">
        <v>60</v>
      </c>
      <c r="M2" s="29" t="s">
        <v>61</v>
      </c>
      <c r="N2" s="29" t="s">
        <v>62</v>
      </c>
      <c r="O2" s="30" t="s">
        <v>63</v>
      </c>
    </row>
    <row r="3" ht="26.25" customHeight="1">
      <c r="A3" s="22" t="s">
        <v>46</v>
      </c>
      <c r="B3" s="32" t="s">
        <v>8</v>
      </c>
      <c r="C3" s="34" t="s">
        <v>68</v>
      </c>
      <c r="D3" s="17">
        <v>46287.0</v>
      </c>
      <c r="E3" s="36" t="s">
        <v>52</v>
      </c>
      <c r="F3" s="38">
        <v>100.0</v>
      </c>
      <c r="G3" s="38">
        <v>2.0</v>
      </c>
      <c r="H3" s="38">
        <v>0.0</v>
      </c>
      <c r="I3" s="41">
        <v>1.0</v>
      </c>
      <c r="J3" s="42" t="s">
        <v>75</v>
      </c>
      <c r="K3" s="42" t="s">
        <v>77</v>
      </c>
      <c r="L3" s="45" t="s">
        <v>78</v>
      </c>
      <c r="M3" s="45" t="s">
        <v>79</v>
      </c>
      <c r="N3" s="45" t="s">
        <v>81</v>
      </c>
      <c r="O3" s="46" t="s">
        <v>84</v>
      </c>
    </row>
    <row r="4" ht="26.25" customHeight="1">
      <c r="A4" s="9" t="s">
        <v>46</v>
      </c>
      <c r="B4" s="49" t="s">
        <v>10</v>
      </c>
      <c r="C4" s="49" t="s">
        <v>89</v>
      </c>
      <c r="D4" s="17">
        <v>46287.0</v>
      </c>
      <c r="E4" s="19" t="s">
        <v>52</v>
      </c>
      <c r="F4" s="20">
        <v>92.0</v>
      </c>
      <c r="G4" s="20">
        <v>2.0</v>
      </c>
      <c r="H4" s="20">
        <v>0.0</v>
      </c>
      <c r="I4" s="24">
        <v>1.0</v>
      </c>
      <c r="J4" s="26" t="s">
        <v>93</v>
      </c>
      <c r="K4" s="26" t="s">
        <v>95</v>
      </c>
      <c r="L4" s="29" t="s">
        <v>97</v>
      </c>
      <c r="M4" s="29" t="s">
        <v>98</v>
      </c>
      <c r="N4" s="29" t="s">
        <v>99</v>
      </c>
      <c r="O4" s="30" t="s">
        <v>101</v>
      </c>
    </row>
    <row r="5" ht="26.25" customHeight="1">
      <c r="A5" s="22" t="s">
        <v>105</v>
      </c>
      <c r="B5" s="58" t="s">
        <v>6</v>
      </c>
      <c r="C5" s="59" t="s">
        <v>50</v>
      </c>
      <c r="D5" s="17">
        <v>46287.0</v>
      </c>
      <c r="E5" s="36" t="s">
        <v>52</v>
      </c>
      <c r="F5" s="38">
        <v>98.0</v>
      </c>
      <c r="G5" s="38">
        <v>3.0</v>
      </c>
      <c r="H5" s="38">
        <v>0.0</v>
      </c>
      <c r="I5" s="41">
        <v>2.0</v>
      </c>
      <c r="J5" s="42" t="s">
        <v>110</v>
      </c>
      <c r="K5" s="42" t="s">
        <v>111</v>
      </c>
      <c r="L5" s="45" t="s">
        <v>112</v>
      </c>
      <c r="M5" s="45" t="s">
        <v>113</v>
      </c>
      <c r="N5" s="45" t="s">
        <v>114</v>
      </c>
      <c r="O5" s="46" t="s">
        <v>115</v>
      </c>
    </row>
    <row r="6" ht="26.25" customHeight="1">
      <c r="A6" s="9" t="s">
        <v>105</v>
      </c>
      <c r="B6" s="60" t="s">
        <v>8</v>
      </c>
      <c r="C6" s="61" t="s">
        <v>68</v>
      </c>
      <c r="D6" s="17">
        <v>46287.0</v>
      </c>
      <c r="E6" s="19" t="s">
        <v>52</v>
      </c>
      <c r="F6" s="20">
        <v>100.0</v>
      </c>
      <c r="G6" s="20">
        <v>3.0</v>
      </c>
      <c r="H6" s="20">
        <v>0.0</v>
      </c>
      <c r="I6" s="24">
        <v>1.0</v>
      </c>
      <c r="J6" s="26" t="s">
        <v>116</v>
      </c>
      <c r="K6" s="26" t="s">
        <v>117</v>
      </c>
      <c r="L6" s="29" t="s">
        <v>118</v>
      </c>
      <c r="M6" s="29" t="s">
        <v>119</v>
      </c>
      <c r="N6" s="29" t="s">
        <v>121</v>
      </c>
      <c r="O6" s="30" t="s">
        <v>122</v>
      </c>
    </row>
    <row r="7" ht="26.25" customHeight="1">
      <c r="A7" s="22" t="s">
        <v>105</v>
      </c>
      <c r="B7" s="64" t="s">
        <v>10</v>
      </c>
      <c r="C7" s="64" t="s">
        <v>89</v>
      </c>
      <c r="D7" s="17">
        <v>46287.0</v>
      </c>
      <c r="E7" s="67" t="s">
        <v>52</v>
      </c>
      <c r="F7" s="68">
        <v>88.0</v>
      </c>
      <c r="G7" s="68">
        <v>4.0</v>
      </c>
      <c r="H7" s="68">
        <v>0.0</v>
      </c>
      <c r="I7" s="69">
        <v>2.0</v>
      </c>
      <c r="J7" s="70" t="s">
        <v>116</v>
      </c>
      <c r="K7" s="72" t="s">
        <v>126</v>
      </c>
      <c r="L7" s="74" t="s">
        <v>127</v>
      </c>
      <c r="M7" s="74" t="s">
        <v>128</v>
      </c>
      <c r="N7" s="74" t="s">
        <v>129</v>
      </c>
      <c r="O7" s="77" t="s">
        <v>130</v>
      </c>
    </row>
    <row r="8" ht="26.25" customHeight="1">
      <c r="A8" s="9" t="s">
        <v>125</v>
      </c>
      <c r="B8" s="78" t="s">
        <v>6</v>
      </c>
      <c r="C8" s="79" t="s">
        <v>50</v>
      </c>
      <c r="D8" s="17">
        <v>46287.0</v>
      </c>
      <c r="E8" s="80" t="s">
        <v>132</v>
      </c>
      <c r="F8" s="81">
        <v>99.0</v>
      </c>
      <c r="G8" s="81">
        <v>3.0</v>
      </c>
      <c r="H8" s="81">
        <v>0.0</v>
      </c>
      <c r="I8" s="82">
        <v>1.0</v>
      </c>
      <c r="J8" s="83" t="s">
        <v>133</v>
      </c>
      <c r="K8" s="83" t="s">
        <v>134</v>
      </c>
      <c r="L8" s="84" t="s">
        <v>136</v>
      </c>
      <c r="M8" s="84" t="s">
        <v>137</v>
      </c>
      <c r="N8" s="84" t="s">
        <v>138</v>
      </c>
      <c r="O8" s="85" t="s">
        <v>139</v>
      </c>
    </row>
    <row r="9" ht="26.25" customHeight="1">
      <c r="A9" s="22" t="s">
        <v>125</v>
      </c>
      <c r="B9" s="86" t="s">
        <v>8</v>
      </c>
      <c r="C9" s="87" t="s">
        <v>68</v>
      </c>
      <c r="D9" s="17">
        <v>46287.0</v>
      </c>
      <c r="E9" s="67" t="s">
        <v>132</v>
      </c>
      <c r="F9" s="68">
        <v>100.0</v>
      </c>
      <c r="G9" s="68">
        <v>2.0</v>
      </c>
      <c r="H9" s="68">
        <v>0.0</v>
      </c>
      <c r="I9" s="69">
        <v>1.0</v>
      </c>
      <c r="J9" s="72" t="s">
        <v>133</v>
      </c>
      <c r="K9" s="72" t="s">
        <v>141</v>
      </c>
      <c r="L9" s="74" t="s">
        <v>143</v>
      </c>
      <c r="M9" s="74" t="s">
        <v>144</v>
      </c>
      <c r="N9" s="74" t="s">
        <v>145</v>
      </c>
      <c r="O9" s="77" t="s">
        <v>146</v>
      </c>
    </row>
    <row r="10" ht="26.25" customHeight="1">
      <c r="A10" s="9" t="s">
        <v>125</v>
      </c>
      <c r="B10" s="90" t="s">
        <v>10</v>
      </c>
      <c r="C10" s="90" t="s">
        <v>89</v>
      </c>
      <c r="D10" s="17">
        <v>46287.0</v>
      </c>
      <c r="E10" s="80" t="s">
        <v>132</v>
      </c>
      <c r="F10" s="81">
        <v>88.0</v>
      </c>
      <c r="G10" s="81">
        <v>3.0</v>
      </c>
      <c r="H10" s="81">
        <v>1.0</v>
      </c>
      <c r="I10" s="82">
        <v>2.0</v>
      </c>
      <c r="J10" s="83" t="s">
        <v>133</v>
      </c>
      <c r="K10" s="83" t="s">
        <v>152</v>
      </c>
      <c r="L10" s="84" t="s">
        <v>154</v>
      </c>
      <c r="M10" s="84" t="s">
        <v>156</v>
      </c>
      <c r="N10" s="84" t="s">
        <v>157</v>
      </c>
      <c r="O10" s="85" t="s">
        <v>158</v>
      </c>
    </row>
    <row r="11" ht="26.25" customHeight="1">
      <c r="A11" s="22" t="s">
        <v>131</v>
      </c>
      <c r="B11" s="91" t="s">
        <v>6</v>
      </c>
      <c r="C11" s="92" t="s">
        <v>50</v>
      </c>
      <c r="D11" s="17">
        <v>46287.0</v>
      </c>
      <c r="E11" s="67" t="s">
        <v>147</v>
      </c>
      <c r="F11" s="68">
        <v>99.0</v>
      </c>
      <c r="G11" s="68">
        <v>3.0</v>
      </c>
      <c r="H11" s="68">
        <v>0.0</v>
      </c>
      <c r="I11" s="69">
        <v>1.0</v>
      </c>
      <c r="J11" s="93" t="s">
        <v>161</v>
      </c>
      <c r="K11" s="72" t="s">
        <v>162</v>
      </c>
      <c r="L11" s="74" t="s">
        <v>163</v>
      </c>
      <c r="M11" s="74" t="s">
        <v>164</v>
      </c>
      <c r="N11" s="74" t="s">
        <v>165</v>
      </c>
      <c r="O11" s="77" t="s">
        <v>166</v>
      </c>
    </row>
    <row r="12" ht="26.25" customHeight="1">
      <c r="A12" s="9" t="s">
        <v>131</v>
      </c>
      <c r="B12" s="94" t="s">
        <v>8</v>
      </c>
      <c r="C12" s="95" t="s">
        <v>68</v>
      </c>
      <c r="D12" s="17">
        <v>46287.0</v>
      </c>
      <c r="E12" s="80" t="s">
        <v>147</v>
      </c>
      <c r="F12" s="81">
        <v>100.0</v>
      </c>
      <c r="G12" s="81">
        <v>2.0</v>
      </c>
      <c r="H12" s="81">
        <v>0.0</v>
      </c>
      <c r="I12" s="82">
        <v>1.0</v>
      </c>
      <c r="J12" s="93" t="s">
        <v>161</v>
      </c>
      <c r="K12" s="83" t="s">
        <v>167</v>
      </c>
      <c r="L12" s="84" t="s">
        <v>168</v>
      </c>
      <c r="M12" s="84" t="s">
        <v>169</v>
      </c>
      <c r="N12" s="84" t="s">
        <v>170</v>
      </c>
      <c r="O12" s="85" t="s">
        <v>171</v>
      </c>
    </row>
    <row r="13" ht="26.25" customHeight="1">
      <c r="A13" s="22" t="s">
        <v>131</v>
      </c>
      <c r="B13" s="64" t="s">
        <v>10</v>
      </c>
      <c r="C13" s="64" t="s">
        <v>89</v>
      </c>
      <c r="D13" s="17">
        <v>46287.0</v>
      </c>
      <c r="E13" s="67" t="s">
        <v>147</v>
      </c>
      <c r="F13" s="68">
        <v>92.0</v>
      </c>
      <c r="G13" s="68">
        <v>3.0</v>
      </c>
      <c r="H13" s="68">
        <v>0.0</v>
      </c>
      <c r="I13" s="69">
        <v>1.0</v>
      </c>
      <c r="J13" s="72" t="s">
        <v>161</v>
      </c>
      <c r="K13" s="72" t="s">
        <v>162</v>
      </c>
      <c r="L13" s="74" t="s">
        <v>172</v>
      </c>
      <c r="M13" s="74" t="s">
        <v>173</v>
      </c>
      <c r="N13" s="74" t="s">
        <v>174</v>
      </c>
      <c r="O13" s="77" t="s">
        <v>175</v>
      </c>
    </row>
    <row r="14" ht="26.25" customHeight="1">
      <c r="A14" s="9" t="s">
        <v>135</v>
      </c>
      <c r="B14" s="78" t="s">
        <v>6</v>
      </c>
      <c r="C14" s="79" t="s">
        <v>50</v>
      </c>
      <c r="D14" s="17">
        <v>46287.0</v>
      </c>
      <c r="E14" s="80" t="s">
        <v>147</v>
      </c>
      <c r="F14" s="81">
        <v>96.0</v>
      </c>
      <c r="G14" s="81">
        <v>3.0</v>
      </c>
      <c r="H14" s="81">
        <v>1.0</v>
      </c>
      <c r="I14" s="96"/>
      <c r="J14" s="83" t="s">
        <v>176</v>
      </c>
      <c r="K14" s="83" t="s">
        <v>177</v>
      </c>
      <c r="L14" s="84" t="s">
        <v>178</v>
      </c>
      <c r="M14" s="84" t="s">
        <v>179</v>
      </c>
      <c r="N14" s="84" t="s">
        <v>180</v>
      </c>
      <c r="O14" s="85" t="s">
        <v>181</v>
      </c>
    </row>
    <row r="15" ht="26.25" customHeight="1">
      <c r="A15" s="22" t="s">
        <v>135</v>
      </c>
      <c r="B15" s="86" t="s">
        <v>8</v>
      </c>
      <c r="C15" s="87" t="s">
        <v>68</v>
      </c>
      <c r="D15" s="17">
        <v>46287.0</v>
      </c>
      <c r="E15" s="67" t="s">
        <v>147</v>
      </c>
      <c r="F15" s="68">
        <v>100.0</v>
      </c>
      <c r="G15" s="68">
        <v>3.0</v>
      </c>
      <c r="H15" s="68">
        <v>1.0</v>
      </c>
      <c r="I15" s="69">
        <v>1.0</v>
      </c>
      <c r="J15" s="72" t="s">
        <v>182</v>
      </c>
      <c r="K15" s="72" t="s">
        <v>183</v>
      </c>
      <c r="L15" s="74" t="s">
        <v>184</v>
      </c>
      <c r="M15" s="74" t="s">
        <v>185</v>
      </c>
      <c r="N15" s="74" t="s">
        <v>186</v>
      </c>
      <c r="O15" s="77" t="s">
        <v>187</v>
      </c>
    </row>
    <row r="16" ht="26.25" customHeight="1">
      <c r="A16" s="9" t="s">
        <v>135</v>
      </c>
      <c r="B16" s="90" t="s">
        <v>10</v>
      </c>
      <c r="C16" s="90" t="s">
        <v>89</v>
      </c>
      <c r="D16" s="17">
        <v>46287.0</v>
      </c>
      <c r="E16" s="80" t="s">
        <v>147</v>
      </c>
      <c r="F16" s="81">
        <v>88.0</v>
      </c>
      <c r="G16" s="81">
        <v>4.0</v>
      </c>
      <c r="H16" s="81">
        <v>1.0</v>
      </c>
      <c r="I16" s="82">
        <v>2.0</v>
      </c>
      <c r="J16" s="83" t="s">
        <v>182</v>
      </c>
      <c r="K16" s="83" t="s">
        <v>188</v>
      </c>
      <c r="L16" s="84" t="s">
        <v>189</v>
      </c>
      <c r="M16" s="84" t="s">
        <v>190</v>
      </c>
      <c r="N16" s="84" t="s">
        <v>191</v>
      </c>
      <c r="O16" s="85" t="s">
        <v>192</v>
      </c>
    </row>
    <row r="17" ht="26.25" customHeight="1">
      <c r="A17" s="22" t="s">
        <v>140</v>
      </c>
      <c r="B17" s="91" t="s">
        <v>6</v>
      </c>
      <c r="C17" s="92" t="s">
        <v>50</v>
      </c>
      <c r="D17" s="17">
        <v>46287.0</v>
      </c>
      <c r="E17" s="67" t="s">
        <v>149</v>
      </c>
      <c r="F17" s="68">
        <v>97.0</v>
      </c>
      <c r="G17" s="68">
        <v>2.0</v>
      </c>
      <c r="H17" s="68">
        <v>0.0</v>
      </c>
      <c r="I17" s="69">
        <v>1.0</v>
      </c>
      <c r="J17" s="72" t="s">
        <v>193</v>
      </c>
      <c r="K17" s="72" t="s">
        <v>194</v>
      </c>
      <c r="L17" s="74" t="s">
        <v>195</v>
      </c>
      <c r="M17" s="74" t="s">
        <v>196</v>
      </c>
      <c r="N17" s="74" t="s">
        <v>197</v>
      </c>
      <c r="O17" s="77" t="s">
        <v>198</v>
      </c>
    </row>
    <row r="18" ht="26.25" customHeight="1">
      <c r="A18" s="9" t="s">
        <v>140</v>
      </c>
      <c r="B18" s="94" t="s">
        <v>8</v>
      </c>
      <c r="C18" s="95" t="s">
        <v>68</v>
      </c>
      <c r="D18" s="17">
        <v>46287.0</v>
      </c>
      <c r="E18" s="80" t="s">
        <v>147</v>
      </c>
      <c r="F18" s="81">
        <v>100.0</v>
      </c>
      <c r="G18" s="81">
        <v>2.0</v>
      </c>
      <c r="H18" s="81">
        <v>0.0</v>
      </c>
      <c r="I18" s="82">
        <v>1.0</v>
      </c>
      <c r="J18" s="83" t="s">
        <v>199</v>
      </c>
      <c r="K18" s="83" t="s">
        <v>200</v>
      </c>
      <c r="L18" s="84" t="s">
        <v>201</v>
      </c>
      <c r="M18" s="84" t="s">
        <v>202</v>
      </c>
      <c r="N18" s="84" t="s">
        <v>203</v>
      </c>
      <c r="O18" s="85" t="s">
        <v>204</v>
      </c>
    </row>
    <row r="19" ht="26.25" customHeight="1">
      <c r="A19" s="22" t="s">
        <v>140</v>
      </c>
      <c r="B19" s="64" t="s">
        <v>10</v>
      </c>
      <c r="C19" s="64" t="s">
        <v>89</v>
      </c>
      <c r="D19" s="17">
        <v>46287.0</v>
      </c>
      <c r="E19" s="67" t="s">
        <v>147</v>
      </c>
      <c r="F19" s="68">
        <v>70.0</v>
      </c>
      <c r="G19" s="68">
        <v>3.0</v>
      </c>
      <c r="H19" s="68">
        <v>1.0</v>
      </c>
      <c r="I19" s="69">
        <v>1.0</v>
      </c>
      <c r="J19" s="72" t="s">
        <v>205</v>
      </c>
      <c r="K19" s="72" t="s">
        <v>206</v>
      </c>
      <c r="L19" s="74" t="s">
        <v>207</v>
      </c>
      <c r="M19" s="74" t="s">
        <v>208</v>
      </c>
      <c r="N19" s="74" t="s">
        <v>209</v>
      </c>
      <c r="O19" s="77" t="s">
        <v>210</v>
      </c>
    </row>
    <row r="20" ht="26.25" customHeight="1">
      <c r="A20" s="9" t="s">
        <v>142</v>
      </c>
      <c r="B20" s="78" t="s">
        <v>6</v>
      </c>
      <c r="C20" s="79" t="s">
        <v>50</v>
      </c>
      <c r="D20" s="17">
        <v>46287.0</v>
      </c>
      <c r="E20" s="80" t="s">
        <v>151</v>
      </c>
      <c r="F20" s="81">
        <v>98.0</v>
      </c>
      <c r="G20" s="81">
        <v>4.0</v>
      </c>
      <c r="H20" s="81">
        <v>0.0</v>
      </c>
      <c r="I20" s="82">
        <v>2.0</v>
      </c>
      <c r="J20" s="83" t="s">
        <v>211</v>
      </c>
      <c r="K20" s="83" t="s">
        <v>212</v>
      </c>
      <c r="L20" s="84" t="s">
        <v>213</v>
      </c>
      <c r="M20" s="84" t="s">
        <v>214</v>
      </c>
      <c r="N20" s="84" t="s">
        <v>215</v>
      </c>
      <c r="O20" s="85" t="s">
        <v>216</v>
      </c>
    </row>
    <row r="21" ht="26.25" customHeight="1">
      <c r="A21" s="22" t="s">
        <v>142</v>
      </c>
      <c r="B21" s="86" t="s">
        <v>8</v>
      </c>
      <c r="C21" s="87" t="s">
        <v>68</v>
      </c>
      <c r="D21" s="17">
        <v>46287.0</v>
      </c>
      <c r="E21" s="67" t="s">
        <v>151</v>
      </c>
      <c r="F21" s="68">
        <v>100.0</v>
      </c>
      <c r="G21" s="68">
        <v>3.0</v>
      </c>
      <c r="H21" s="68">
        <v>0.0</v>
      </c>
      <c r="I21" s="69">
        <v>1.0</v>
      </c>
      <c r="J21" s="72" t="s">
        <v>217</v>
      </c>
      <c r="K21" s="72" t="s">
        <v>218</v>
      </c>
      <c r="L21" s="74" t="s">
        <v>219</v>
      </c>
      <c r="M21" s="74" t="s">
        <v>220</v>
      </c>
      <c r="N21" s="74" t="s">
        <v>221</v>
      </c>
      <c r="O21" s="77" t="s">
        <v>222</v>
      </c>
    </row>
    <row r="22" ht="26.25" customHeight="1">
      <c r="A22" s="9" t="s">
        <v>142</v>
      </c>
      <c r="B22" s="90" t="s">
        <v>10</v>
      </c>
      <c r="C22" s="90" t="s">
        <v>89</v>
      </c>
      <c r="D22" s="17">
        <v>46287.0</v>
      </c>
      <c r="E22" s="80" t="s">
        <v>151</v>
      </c>
      <c r="F22" s="81">
        <v>93.0</v>
      </c>
      <c r="G22" s="81">
        <v>3.0</v>
      </c>
      <c r="H22" s="81">
        <v>0.0</v>
      </c>
      <c r="I22" s="82">
        <v>1.0</v>
      </c>
      <c r="J22" s="83" t="s">
        <v>223</v>
      </c>
      <c r="K22" s="83" t="s">
        <v>224</v>
      </c>
      <c r="L22" s="84" t="s">
        <v>225</v>
      </c>
      <c r="M22" s="84" t="s">
        <v>226</v>
      </c>
      <c r="N22" s="84" t="s">
        <v>227</v>
      </c>
      <c r="O22" s="85" t="s">
        <v>228</v>
      </c>
    </row>
    <row r="23" ht="26.25" customHeight="1">
      <c r="A23" s="22" t="s">
        <v>148</v>
      </c>
      <c r="B23" s="91" t="s">
        <v>6</v>
      </c>
      <c r="C23" s="92" t="s">
        <v>50</v>
      </c>
      <c r="D23" s="17">
        <v>46287.0</v>
      </c>
      <c r="E23" s="67" t="s">
        <v>52</v>
      </c>
      <c r="F23" s="68">
        <v>99.0</v>
      </c>
      <c r="G23" s="68">
        <v>3.0</v>
      </c>
      <c r="H23" s="68">
        <v>0.0</v>
      </c>
      <c r="I23" s="69">
        <v>2.0</v>
      </c>
      <c r="J23" s="72" t="s">
        <v>229</v>
      </c>
      <c r="K23" s="72" t="s">
        <v>230</v>
      </c>
      <c r="L23" s="74" t="s">
        <v>231</v>
      </c>
      <c r="M23" s="74" t="s">
        <v>232</v>
      </c>
      <c r="N23" s="74" t="s">
        <v>233</v>
      </c>
      <c r="O23" s="77" t="s">
        <v>234</v>
      </c>
    </row>
    <row r="24" ht="26.25" customHeight="1">
      <c r="A24" s="9" t="s">
        <v>148</v>
      </c>
      <c r="B24" s="94" t="s">
        <v>8</v>
      </c>
      <c r="C24" s="95" t="s">
        <v>68</v>
      </c>
      <c r="D24" s="17">
        <v>46287.0</v>
      </c>
      <c r="E24" s="80" t="s">
        <v>52</v>
      </c>
      <c r="F24" s="81">
        <v>100.0</v>
      </c>
      <c r="G24" s="81">
        <v>3.0</v>
      </c>
      <c r="H24" s="81">
        <v>0.0</v>
      </c>
      <c r="I24" s="82">
        <v>2.0</v>
      </c>
      <c r="J24" s="83" t="s">
        <v>235</v>
      </c>
      <c r="K24" s="83" t="s">
        <v>236</v>
      </c>
      <c r="L24" s="84" t="s">
        <v>237</v>
      </c>
      <c r="M24" s="84" t="s">
        <v>238</v>
      </c>
      <c r="N24" s="84" t="s">
        <v>239</v>
      </c>
      <c r="O24" s="85" t="s">
        <v>240</v>
      </c>
    </row>
    <row r="25" ht="26.25" customHeight="1">
      <c r="A25" s="22" t="s">
        <v>148</v>
      </c>
      <c r="B25" s="64" t="s">
        <v>10</v>
      </c>
      <c r="C25" s="64" t="s">
        <v>89</v>
      </c>
      <c r="D25" s="17">
        <v>46287.0</v>
      </c>
      <c r="E25" s="67" t="s">
        <v>52</v>
      </c>
      <c r="F25" s="68">
        <v>99.0</v>
      </c>
      <c r="G25" s="68">
        <v>2.0</v>
      </c>
      <c r="H25" s="68">
        <v>0.0</v>
      </c>
      <c r="I25" s="69">
        <v>1.0</v>
      </c>
      <c r="J25" s="72" t="s">
        <v>241</v>
      </c>
      <c r="K25" s="72" t="s">
        <v>242</v>
      </c>
      <c r="L25" s="74" t="s">
        <v>243</v>
      </c>
      <c r="M25" s="74" t="s">
        <v>244</v>
      </c>
      <c r="N25" s="74" t="s">
        <v>245</v>
      </c>
      <c r="O25" s="77" t="s">
        <v>246</v>
      </c>
    </row>
    <row r="26" ht="26.25" customHeight="1">
      <c r="A26" s="9" t="s">
        <v>150</v>
      </c>
      <c r="B26" s="78" t="s">
        <v>6</v>
      </c>
      <c r="C26" s="79" t="s">
        <v>50</v>
      </c>
      <c r="D26" s="17">
        <v>46287.0</v>
      </c>
      <c r="E26" s="80" t="s">
        <v>132</v>
      </c>
      <c r="F26" s="81">
        <v>100.0</v>
      </c>
      <c r="G26" s="81">
        <v>2.0</v>
      </c>
      <c r="H26" s="81">
        <v>0.0</v>
      </c>
      <c r="I26" s="82">
        <v>1.0</v>
      </c>
      <c r="J26" s="83" t="s">
        <v>247</v>
      </c>
      <c r="K26" s="83" t="s">
        <v>248</v>
      </c>
      <c r="L26" s="84" t="s">
        <v>249</v>
      </c>
      <c r="M26" s="84" t="s">
        <v>250</v>
      </c>
      <c r="N26" s="84" t="s">
        <v>251</v>
      </c>
      <c r="O26" s="85" t="s">
        <v>252</v>
      </c>
    </row>
    <row r="27" ht="26.25" customHeight="1">
      <c r="A27" s="22" t="s">
        <v>150</v>
      </c>
      <c r="B27" s="86" t="s">
        <v>8</v>
      </c>
      <c r="C27" s="87" t="s">
        <v>68</v>
      </c>
      <c r="D27" s="17">
        <v>46287.0</v>
      </c>
      <c r="E27" s="67" t="s">
        <v>132</v>
      </c>
      <c r="F27" s="68">
        <v>100.0</v>
      </c>
      <c r="G27" s="68">
        <v>2.0</v>
      </c>
      <c r="H27" s="68">
        <v>0.0</v>
      </c>
      <c r="I27" s="69">
        <v>1.0</v>
      </c>
      <c r="J27" s="72" t="s">
        <v>253</v>
      </c>
      <c r="K27" s="72" t="s">
        <v>254</v>
      </c>
      <c r="L27" s="74" t="s">
        <v>255</v>
      </c>
      <c r="M27" s="74" t="s">
        <v>256</v>
      </c>
      <c r="N27" s="74" t="s">
        <v>257</v>
      </c>
      <c r="O27" s="77" t="s">
        <v>258</v>
      </c>
    </row>
    <row r="28" ht="26.25" customHeight="1">
      <c r="A28" s="9" t="s">
        <v>150</v>
      </c>
      <c r="B28" s="90" t="s">
        <v>10</v>
      </c>
      <c r="C28" s="90" t="s">
        <v>89</v>
      </c>
      <c r="D28" s="17">
        <v>46287.0</v>
      </c>
      <c r="E28" s="80" t="s">
        <v>132</v>
      </c>
      <c r="F28" s="81">
        <v>99.0</v>
      </c>
      <c r="G28" s="81">
        <v>1.0</v>
      </c>
      <c r="H28" s="81">
        <v>0.0</v>
      </c>
      <c r="I28" s="82">
        <v>1.0</v>
      </c>
      <c r="J28" s="83" t="s">
        <v>259</v>
      </c>
      <c r="K28" s="83" t="s">
        <v>260</v>
      </c>
      <c r="L28" s="84" t="s">
        <v>261</v>
      </c>
      <c r="M28" s="84" t="s">
        <v>262</v>
      </c>
      <c r="N28" s="84" t="s">
        <v>263</v>
      </c>
      <c r="O28" s="85" t="s">
        <v>264</v>
      </c>
    </row>
    <row r="29" ht="26.25" customHeight="1">
      <c r="A29" s="22" t="s">
        <v>153</v>
      </c>
      <c r="B29" s="91" t="s">
        <v>6</v>
      </c>
      <c r="C29" s="92" t="s">
        <v>50</v>
      </c>
      <c r="D29" s="17">
        <v>46287.0</v>
      </c>
      <c r="E29" s="67" t="s">
        <v>149</v>
      </c>
      <c r="F29" s="68">
        <v>99.0</v>
      </c>
      <c r="G29" s="68">
        <v>3.0</v>
      </c>
      <c r="H29" s="68">
        <v>0.0</v>
      </c>
      <c r="I29" s="69">
        <v>1.0</v>
      </c>
      <c r="J29" s="72" t="s">
        <v>265</v>
      </c>
      <c r="K29" s="72" t="s">
        <v>266</v>
      </c>
      <c r="L29" s="74" t="s">
        <v>267</v>
      </c>
      <c r="M29" s="74" t="s">
        <v>268</v>
      </c>
      <c r="N29" s="74" t="s">
        <v>269</v>
      </c>
      <c r="O29" s="77" t="s">
        <v>270</v>
      </c>
    </row>
    <row r="30" ht="26.25" customHeight="1">
      <c r="A30" s="9" t="s">
        <v>153</v>
      </c>
      <c r="B30" s="94" t="s">
        <v>8</v>
      </c>
      <c r="C30" s="95" t="s">
        <v>68</v>
      </c>
      <c r="D30" s="17">
        <v>46287.0</v>
      </c>
      <c r="E30" s="80" t="s">
        <v>149</v>
      </c>
      <c r="F30" s="81">
        <v>100.0</v>
      </c>
      <c r="G30" s="81">
        <v>3.0</v>
      </c>
      <c r="H30" s="81">
        <v>0.0</v>
      </c>
      <c r="I30" s="82">
        <v>1.0</v>
      </c>
      <c r="J30" s="83" t="s">
        <v>161</v>
      </c>
      <c r="K30" s="83" t="s">
        <v>271</v>
      </c>
      <c r="L30" s="84" t="s">
        <v>272</v>
      </c>
      <c r="M30" s="84" t="s">
        <v>273</v>
      </c>
      <c r="N30" s="84" t="s">
        <v>274</v>
      </c>
      <c r="O30" s="85" t="s">
        <v>275</v>
      </c>
    </row>
    <row r="31" ht="26.25" customHeight="1">
      <c r="A31" s="22" t="s">
        <v>153</v>
      </c>
      <c r="B31" s="64" t="s">
        <v>10</v>
      </c>
      <c r="C31" s="64" t="s">
        <v>89</v>
      </c>
      <c r="D31" s="17">
        <v>46287.0</v>
      </c>
      <c r="E31" s="67" t="s">
        <v>149</v>
      </c>
      <c r="F31" s="68">
        <v>95.0</v>
      </c>
      <c r="G31" s="68">
        <v>2.0</v>
      </c>
      <c r="H31" s="68">
        <v>0.0</v>
      </c>
      <c r="I31" s="69">
        <v>1.0</v>
      </c>
      <c r="J31" s="72" t="s">
        <v>276</v>
      </c>
      <c r="K31" s="72" t="s">
        <v>277</v>
      </c>
      <c r="L31" s="74" t="s">
        <v>278</v>
      </c>
      <c r="M31" s="74" t="s">
        <v>279</v>
      </c>
      <c r="N31" s="74" t="s">
        <v>280</v>
      </c>
      <c r="O31" s="77" t="s">
        <v>281</v>
      </c>
    </row>
    <row r="32" ht="26.25" customHeight="1">
      <c r="A32" s="9" t="s">
        <v>155</v>
      </c>
      <c r="B32" s="78" t="s">
        <v>6</v>
      </c>
      <c r="C32" s="79" t="s">
        <v>50</v>
      </c>
      <c r="D32" s="17">
        <v>46287.0</v>
      </c>
      <c r="E32" s="80" t="s">
        <v>149</v>
      </c>
      <c r="F32" s="81">
        <v>99.0</v>
      </c>
      <c r="G32" s="81">
        <v>3.0</v>
      </c>
      <c r="H32" s="81">
        <v>0.0</v>
      </c>
      <c r="I32" s="82">
        <v>2.0</v>
      </c>
      <c r="J32" s="83" t="s">
        <v>282</v>
      </c>
      <c r="K32" s="83" t="s">
        <v>283</v>
      </c>
      <c r="L32" s="84" t="s">
        <v>284</v>
      </c>
      <c r="M32" s="84" t="s">
        <v>285</v>
      </c>
      <c r="N32" s="84" t="s">
        <v>286</v>
      </c>
      <c r="O32" s="85" t="s">
        <v>287</v>
      </c>
    </row>
    <row r="33" ht="26.25" customHeight="1">
      <c r="A33" s="22" t="s">
        <v>155</v>
      </c>
      <c r="B33" s="86" t="s">
        <v>8</v>
      </c>
      <c r="C33" s="87" t="s">
        <v>68</v>
      </c>
      <c r="D33" s="17">
        <v>46287.0</v>
      </c>
      <c r="E33" s="67" t="s">
        <v>149</v>
      </c>
      <c r="F33" s="68">
        <v>100.0</v>
      </c>
      <c r="G33" s="68">
        <v>3.0</v>
      </c>
      <c r="H33" s="68">
        <v>0.0</v>
      </c>
      <c r="I33" s="69">
        <v>1.0</v>
      </c>
      <c r="J33" s="72" t="s">
        <v>288</v>
      </c>
      <c r="K33" s="72" t="s">
        <v>289</v>
      </c>
      <c r="L33" s="74" t="s">
        <v>290</v>
      </c>
      <c r="M33" s="74" t="s">
        <v>291</v>
      </c>
      <c r="N33" s="74" t="s">
        <v>292</v>
      </c>
      <c r="O33" s="77" t="s">
        <v>293</v>
      </c>
    </row>
    <row r="34" ht="26.25" customHeight="1">
      <c r="A34" s="9" t="s">
        <v>155</v>
      </c>
      <c r="B34" s="90" t="s">
        <v>10</v>
      </c>
      <c r="C34" s="90" t="s">
        <v>89</v>
      </c>
      <c r="D34" s="17">
        <v>46287.0</v>
      </c>
      <c r="E34" s="80" t="s">
        <v>149</v>
      </c>
      <c r="F34" s="81">
        <v>95.0</v>
      </c>
      <c r="G34" s="81">
        <v>3.0</v>
      </c>
      <c r="H34" s="81">
        <v>0.0</v>
      </c>
      <c r="I34" s="82">
        <v>1.0</v>
      </c>
      <c r="J34" s="83" t="s">
        <v>294</v>
      </c>
      <c r="K34" s="83" t="s">
        <v>295</v>
      </c>
      <c r="L34" s="84" t="s">
        <v>296</v>
      </c>
      <c r="M34" s="84" t="s">
        <v>297</v>
      </c>
      <c r="N34" s="84" t="s">
        <v>298</v>
      </c>
      <c r="O34" s="85" t="s">
        <v>299</v>
      </c>
    </row>
    <row r="35" ht="26.25" customHeight="1">
      <c r="A35" s="22" t="s">
        <v>159</v>
      </c>
      <c r="B35" s="91" t="s">
        <v>6</v>
      </c>
      <c r="C35" s="92" t="s">
        <v>50</v>
      </c>
      <c r="D35" s="17">
        <v>46287.0</v>
      </c>
      <c r="E35" s="67" t="s">
        <v>149</v>
      </c>
      <c r="F35" s="68">
        <v>98.0</v>
      </c>
      <c r="G35" s="68">
        <v>3.0</v>
      </c>
      <c r="H35" s="68">
        <v>0.0</v>
      </c>
      <c r="I35" s="69">
        <v>2.0</v>
      </c>
      <c r="J35" s="72" t="s">
        <v>259</v>
      </c>
      <c r="K35" s="72" t="s">
        <v>300</v>
      </c>
      <c r="L35" s="74" t="s">
        <v>301</v>
      </c>
      <c r="M35" s="74" t="s">
        <v>302</v>
      </c>
      <c r="N35" s="74" t="s">
        <v>303</v>
      </c>
      <c r="O35" s="77" t="s">
        <v>304</v>
      </c>
    </row>
    <row r="36" ht="26.25" customHeight="1">
      <c r="A36" s="9" t="s">
        <v>159</v>
      </c>
      <c r="B36" s="94" t="s">
        <v>8</v>
      </c>
      <c r="C36" s="95" t="s">
        <v>68</v>
      </c>
      <c r="D36" s="17">
        <v>46287.0</v>
      </c>
      <c r="E36" s="80" t="s">
        <v>149</v>
      </c>
      <c r="F36" s="81">
        <v>100.0</v>
      </c>
      <c r="G36" s="81">
        <v>3.0</v>
      </c>
      <c r="H36" s="81">
        <v>0.0</v>
      </c>
      <c r="I36" s="82">
        <v>1.0</v>
      </c>
      <c r="J36" s="83" t="s">
        <v>305</v>
      </c>
      <c r="K36" s="83" t="s">
        <v>306</v>
      </c>
      <c r="L36" s="84" t="s">
        <v>307</v>
      </c>
      <c r="M36" s="84" t="s">
        <v>308</v>
      </c>
      <c r="N36" s="84" t="s">
        <v>309</v>
      </c>
      <c r="O36" s="85" t="s">
        <v>310</v>
      </c>
    </row>
    <row r="37" ht="26.25" customHeight="1">
      <c r="A37" s="22" t="s">
        <v>159</v>
      </c>
      <c r="B37" s="64" t="s">
        <v>10</v>
      </c>
      <c r="C37" s="64" t="s">
        <v>89</v>
      </c>
      <c r="D37" s="17">
        <v>46287.0</v>
      </c>
      <c r="E37" s="67" t="s">
        <v>149</v>
      </c>
      <c r="F37" s="68">
        <v>98.0</v>
      </c>
      <c r="G37" s="68">
        <v>2.0</v>
      </c>
      <c r="H37" s="68">
        <v>0.0</v>
      </c>
      <c r="I37" s="69">
        <v>1.0</v>
      </c>
      <c r="J37" s="72" t="s">
        <v>259</v>
      </c>
      <c r="K37" s="72" t="s">
        <v>311</v>
      </c>
      <c r="L37" s="74" t="s">
        <v>312</v>
      </c>
      <c r="M37" s="74" t="s">
        <v>313</v>
      </c>
      <c r="N37" s="74" t="s">
        <v>314</v>
      </c>
      <c r="O37" s="77" t="s">
        <v>315</v>
      </c>
    </row>
    <row r="38" ht="26.25" customHeight="1">
      <c r="A38" s="9" t="s">
        <v>160</v>
      </c>
      <c r="B38" s="78" t="s">
        <v>6</v>
      </c>
      <c r="C38" s="79" t="s">
        <v>50</v>
      </c>
      <c r="D38" s="17">
        <v>46287.0</v>
      </c>
      <c r="E38" s="80" t="s">
        <v>147</v>
      </c>
      <c r="F38" s="81">
        <v>98.0</v>
      </c>
      <c r="G38" s="81">
        <v>3.0</v>
      </c>
      <c r="H38" s="81">
        <v>0.0</v>
      </c>
      <c r="I38" s="82">
        <v>2.0</v>
      </c>
      <c r="J38" s="83" t="s">
        <v>316</v>
      </c>
      <c r="K38" s="83" t="s">
        <v>317</v>
      </c>
      <c r="L38" s="84" t="s">
        <v>318</v>
      </c>
      <c r="M38" s="84" t="s">
        <v>319</v>
      </c>
      <c r="N38" s="84" t="s">
        <v>320</v>
      </c>
      <c r="O38" s="85" t="s">
        <v>321</v>
      </c>
    </row>
    <row r="39" ht="26.25" customHeight="1">
      <c r="A39" s="22" t="s">
        <v>160</v>
      </c>
      <c r="B39" s="86" t="s">
        <v>8</v>
      </c>
      <c r="C39" s="87" t="s">
        <v>68</v>
      </c>
      <c r="D39" s="17">
        <v>46287.0</v>
      </c>
      <c r="E39" s="67" t="s">
        <v>151</v>
      </c>
      <c r="F39" s="68">
        <v>100.0</v>
      </c>
      <c r="G39" s="68">
        <v>3.0</v>
      </c>
      <c r="H39" s="68">
        <v>0.0</v>
      </c>
      <c r="I39" s="69">
        <v>1.0</v>
      </c>
      <c r="J39" s="72" t="s">
        <v>322</v>
      </c>
      <c r="K39" s="72" t="s">
        <v>323</v>
      </c>
      <c r="L39" s="74" t="s">
        <v>324</v>
      </c>
      <c r="M39" s="74" t="s">
        <v>325</v>
      </c>
      <c r="N39" s="74" t="s">
        <v>326</v>
      </c>
      <c r="O39" s="77" t="s">
        <v>327</v>
      </c>
    </row>
    <row r="40" ht="26.25" customHeight="1">
      <c r="A40" s="9" t="s">
        <v>160</v>
      </c>
      <c r="B40" s="90" t="s">
        <v>10</v>
      </c>
      <c r="C40" s="90" t="s">
        <v>89</v>
      </c>
      <c r="D40" s="17">
        <v>46287.0</v>
      </c>
      <c r="E40" s="80" t="s">
        <v>151</v>
      </c>
      <c r="F40" s="81">
        <v>85.0</v>
      </c>
      <c r="G40" s="81">
        <v>3.0</v>
      </c>
      <c r="H40" s="81">
        <v>1.0</v>
      </c>
      <c r="I40" s="82">
        <v>1.0</v>
      </c>
      <c r="J40" s="83" t="s">
        <v>328</v>
      </c>
      <c r="K40" s="83" t="s">
        <v>329</v>
      </c>
      <c r="L40" s="84" t="s">
        <v>330</v>
      </c>
      <c r="M40" s="84" t="s">
        <v>331</v>
      </c>
      <c r="N40" s="84" t="s">
        <v>332</v>
      </c>
      <c r="O40" s="85" t="s">
        <v>333</v>
      </c>
    </row>
  </sheetData>
  <dataValidations>
    <dataValidation type="list" allowBlank="1" sqref="E2:E40">
      <formula1>"A,B,C,D,E"</formula1>
    </dataValidation>
    <dataValidation type="list" allowBlank="1" sqref="B2:B40">
      <formula1>"ChatGPT,Gemini,Claude"</formula1>
    </dataValidation>
    <dataValidation type="custom" allowBlank="1" showDropDown="1" sqref="D2:D40">
      <formula1>OR(NOT(ISERROR(DATEVALUE(D2))), AND(ISNUMBER(D2), LEFT(CELL("format", D2))="D"))</formula1>
    </dataValidation>
    <dataValidation allowBlank="1" showDropDown="1" sqref="A2:A40"/>
    <dataValidation type="list" allowBlank="1" sqref="C2:C40">
      <formula1>"Gemini 3.6 Flash,Sonnet 5,GPT-5.6 Luna"</formula1>
    </dataValidation>
    <dataValidation type="custom" allowBlank="1" showDropDown="1" sqref="F2:H40">
      <formula1>AND(ISNUMBER(F2),(NOT(OR(NOT(ISERROR(DATEVALUE(F2))), AND(ISNUMBER(F2), LEFT(CELL("format", F2))="D")))))</formula1>
    </dataValidation>
    <dataValidation allowBlank="1" showDropDown="1" sqref="J2:K40"/>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3" t="s">
        <v>1</v>
      </c>
      <c r="B1" s="3" t="s">
        <v>6</v>
      </c>
      <c r="C1" s="3" t="s">
        <v>8</v>
      </c>
      <c r="D1" s="3" t="s">
        <v>10</v>
      </c>
      <c r="E1" s="3" t="s">
        <v>13</v>
      </c>
      <c r="F1" s="5" t="s">
        <v>16</v>
      </c>
      <c r="G1" s="5" t="s">
        <v>20</v>
      </c>
      <c r="H1" s="5" t="s">
        <v>22</v>
      </c>
      <c r="I1" s="5" t="s">
        <v>26</v>
      </c>
      <c r="J1" s="5" t="s">
        <v>29</v>
      </c>
      <c r="K1" s="5" t="s">
        <v>32</v>
      </c>
      <c r="L1" s="5" t="s">
        <v>34</v>
      </c>
      <c r="M1" s="5" t="s">
        <v>36</v>
      </c>
      <c r="N1" s="5" t="s">
        <v>38</v>
      </c>
      <c r="O1" s="5" t="s">
        <v>42</v>
      </c>
    </row>
    <row r="2" ht="22.5" customHeight="1">
      <c r="A2" s="9" t="s">
        <v>46</v>
      </c>
      <c r="B2" s="18" t="str">
        <f>IFERROR(__xludf.DUMMYFUNCTION("IFERROR(INDEX(FILTER('Respostas LLM'!$E:$E,'Respostas LLM'!$A:$A=$A2,'Respostas LLM'!$B:$B=""ChatGPT""),1),"""")"),"D")</f>
        <v>D</v>
      </c>
      <c r="C2" s="18" t="str">
        <f>IFERROR(__xludf.DUMMYFUNCTION("IFERROR(INDEX(FILTER('Respostas LLM'!$E:$E,'Respostas LLM'!$A:$A=$A2,'Respostas LLM'!$B:$B=""Gemini""),1),"""")"),"D")</f>
        <v>D</v>
      </c>
      <c r="D2" s="18" t="str">
        <f>IFERROR(__xludf.DUMMYFUNCTION("IFERROR(INDEX(FILTER('Respostas LLM'!$E:$E,'Respostas LLM'!$A:$A=$A2,'Respostas LLM'!$B:$B=""Claude""),1),"""")"),"D")</f>
        <v>D</v>
      </c>
      <c r="E2" s="18" t="str">
        <f t="shared" ref="E2:E14" si="1">IF(OR(B2="",C2="",D2=""),"",IF(AND(B2=C2,C2=D2),"3/3",IF(OR(B2=C2,B2=D2,C2=D2),"2/3","0/3")))</f>
        <v>3/3</v>
      </c>
      <c r="F2" s="18" t="str">
        <f t="shared" ref="F2:F14" si="2">IF(OR(B2="",C2="",D2=""),"",IF(B2=C2,B2,IF(B2=D2,B2,IF(C2=D2,C2,"Sem maioria"))))</f>
        <v>D</v>
      </c>
      <c r="G2" s="18" t="str">
        <f>IFERROR(__xludf.DUMMYFUNCTION("IFERROR(INDEX(FILTER(Gabarito_INEP!$B:$B,Gabarito_INEP!$A:$A=$A2),1),"""")"),"D")</f>
        <v>D</v>
      </c>
      <c r="H2" s="18" t="str">
        <f t="shared" ref="H2:H14" si="3">IF(G2="","",COUNTIF(B2:D2,G2)&amp;"/3")</f>
        <v>3/3</v>
      </c>
      <c r="I2" s="44">
        <f>IFERROR(__xludf.DUMMYFUNCTION("IFERROR(AVERAGE(FILTER('Respostas LLM'!$F:$F,'Respostas LLM'!$A:$A=$A2)),"""")"),96.66666666666667)</f>
        <v>96.66666667</v>
      </c>
      <c r="J2" s="44">
        <f>IFERROR(__xludf.DUMMYFUNCTION("IFERROR(AVERAGE(FILTER('Respostas LLM'!$G:$G,'Respostas LLM'!$A:$A=$A2,'Respostas LLM'!$G:$G&lt;&gt;"""")),"""")"),2.3333333333333335)</f>
        <v>2.333333333</v>
      </c>
      <c r="K2" s="44">
        <f>IFERROR(__xludf.DUMMYFUNCTION("IFERROR(AVERAGE(FILTER('Respostas LLM'!$H:$H,'Respostas LLM'!$A:$A=$A2)),"""")"),0.0)</f>
        <v>0</v>
      </c>
      <c r="L2" s="44">
        <f>IFERROR(__xludf.DUMMYFUNCTION("IFERROR(MAX(FILTER('Respostas LLM'!$H:$H,'Respostas LLM'!$A:$A=$A2)),"""")"),0.0)</f>
        <v>0</v>
      </c>
      <c r="M2" s="44">
        <f>IFERROR(__xludf.DUMMYFUNCTION("IFERROR(AVERAGE(FILTER('Respostas LLM'!$I:$I,'Respostas LLM'!$A:$A=$A2)),"""")"),1.3333333333333333)</f>
        <v>1.333333333</v>
      </c>
      <c r="N2" s="18" t="str">
        <f t="shared" ref="N2:N14" si="4">IF(OR(F2="",G2=""),"",IF(F2="Sem maioria","Sem maioria",IF(F2=G2,"Sim","Não")))</f>
        <v>Sim</v>
      </c>
      <c r="O2" s="56" t="str">
        <f t="shared" ref="O2:O14" si="5">IF(G2="","",IF(G2="ANULADA","Questão anulada",IF(E2="3/3",IF(H2="3/3","Consenso unânime correto","Consenso unânime incorreto"),IF(E2="2/3",IF(H2="2/3","Maioria correta — 1 LLM divergiu",IF(H2="1/3","Maioria incorreta — 1 LLM acertou","Maioria incorreta — nenhuma LLM acertou")),IF(E2="0/3",IF(H2="1/3","Sem consenso — 1 LLM acertou","Sem consenso — nenhuma LLM acertou"),"")))))</f>
        <v>Consenso unânime correto</v>
      </c>
    </row>
    <row r="3" ht="22.5" customHeight="1">
      <c r="A3" s="22" t="s">
        <v>105</v>
      </c>
      <c r="B3" s="18" t="str">
        <f>IFERROR(__xludf.DUMMYFUNCTION("IFERROR(INDEX(FILTER('Respostas LLM'!$E:$E,'Respostas LLM'!$A:$A=$A3,'Respostas LLM'!$B:$B=""ChatGPT""),1),"""")"),"D")</f>
        <v>D</v>
      </c>
      <c r="C3" s="18" t="str">
        <f>IFERROR(__xludf.DUMMYFUNCTION("IFERROR(INDEX(FILTER('Respostas LLM'!$E:$E,'Respostas LLM'!$A:$A=$A3,'Respostas LLM'!$B:$B=""Gemini""),1),"""")"),"D")</f>
        <v>D</v>
      </c>
      <c r="D3" s="18" t="str">
        <f>IFERROR(__xludf.DUMMYFUNCTION("IFERROR(INDEX(FILTER('Respostas LLM'!$E:$E,'Respostas LLM'!$A:$A=$A3,'Respostas LLM'!$B:$B=""Claude""),1),"""")"),"D")</f>
        <v>D</v>
      </c>
      <c r="E3" s="18" t="str">
        <f t="shared" si="1"/>
        <v>3/3</v>
      </c>
      <c r="F3" s="18" t="str">
        <f t="shared" si="2"/>
        <v>D</v>
      </c>
      <c r="G3" s="18" t="str">
        <f>IFERROR(__xludf.DUMMYFUNCTION("IFERROR(INDEX(FILTER(Gabarito_INEP!$B:$B,Gabarito_INEP!$A:$A=$A3),1),"""")"),"D")</f>
        <v>D</v>
      </c>
      <c r="H3" s="18" t="str">
        <f t="shared" si="3"/>
        <v>3/3</v>
      </c>
      <c r="I3" s="44">
        <f>IFERROR(__xludf.DUMMYFUNCTION("IFERROR(AVERAGE(FILTER('Respostas LLM'!$F:$F,'Respostas LLM'!$A:$A=$A3)),"""")"),95.33333333333333)</f>
        <v>95.33333333</v>
      </c>
      <c r="J3" s="44">
        <f>IFERROR(__xludf.DUMMYFUNCTION("IFERROR(AVERAGE(FILTER('Respostas LLM'!$G:$G,'Respostas LLM'!$A:$A=$A3,'Respostas LLM'!$G:$G&lt;&gt;"""")),"""")"),3.3333333333333335)</f>
        <v>3.333333333</v>
      </c>
      <c r="K3" s="44">
        <f>IFERROR(__xludf.DUMMYFUNCTION("IFERROR(AVERAGE(FILTER('Respostas LLM'!$H:$H,'Respostas LLM'!$A:$A=$A3)),"""")"),0.0)</f>
        <v>0</v>
      </c>
      <c r="L3" s="44">
        <f>IFERROR(__xludf.DUMMYFUNCTION("IFERROR(MAX(FILTER('Respostas LLM'!$H:$H,'Respostas LLM'!$A:$A=$A3)),"""")"),0.0)</f>
        <v>0</v>
      </c>
      <c r="M3" s="44">
        <f>IFERROR(__xludf.DUMMYFUNCTION("IFERROR(AVERAGE(FILTER('Respostas LLM'!$I:$I,'Respostas LLM'!$A:$A=$A3)),"""")"),1.6666666666666667)</f>
        <v>1.666666667</v>
      </c>
      <c r="N3" s="18" t="str">
        <f t="shared" si="4"/>
        <v>Sim</v>
      </c>
      <c r="O3" s="56" t="str">
        <f t="shared" si="5"/>
        <v>Consenso unânime correto</v>
      </c>
    </row>
    <row r="4" ht="22.5" customHeight="1">
      <c r="A4" s="9" t="s">
        <v>125</v>
      </c>
      <c r="B4" s="18" t="str">
        <f>IFERROR(__xludf.DUMMYFUNCTION("IFERROR(INDEX(FILTER('Respostas LLM'!$E:$E,'Respostas LLM'!$A:$A=$A4,'Respostas LLM'!$B:$B=""ChatGPT""),1),"""")"),"B")</f>
        <v>B</v>
      </c>
      <c r="C4" s="18" t="str">
        <f>IFERROR(__xludf.DUMMYFUNCTION("IFERROR(INDEX(FILTER('Respostas LLM'!$E:$E,'Respostas LLM'!$A:$A=$A4,'Respostas LLM'!$B:$B=""Gemini""),1),"""")"),"B")</f>
        <v>B</v>
      </c>
      <c r="D4" s="18" t="str">
        <f>IFERROR(__xludf.DUMMYFUNCTION("IFERROR(INDEX(FILTER('Respostas LLM'!$E:$E,'Respostas LLM'!$A:$A=$A4,'Respostas LLM'!$B:$B=""Claude""),1),"""")"),"B")</f>
        <v>B</v>
      </c>
      <c r="E4" s="18" t="str">
        <f t="shared" si="1"/>
        <v>3/3</v>
      </c>
      <c r="F4" s="18" t="str">
        <f t="shared" si="2"/>
        <v>B</v>
      </c>
      <c r="G4" s="18" t="str">
        <f>IFERROR(__xludf.DUMMYFUNCTION("IFERROR(INDEX(FILTER(Gabarito_INEP!$B:$B,Gabarito_INEP!$A:$A=$A4),1),"""")"),"B")</f>
        <v>B</v>
      </c>
      <c r="H4" s="18" t="str">
        <f t="shared" si="3"/>
        <v>3/3</v>
      </c>
      <c r="I4" s="44">
        <f>IFERROR(__xludf.DUMMYFUNCTION("IFERROR(AVERAGE(FILTER('Respostas LLM'!$F:$F,'Respostas LLM'!$A:$A=$A4)),"""")"),95.66666666666667)</f>
        <v>95.66666667</v>
      </c>
      <c r="J4" s="44">
        <f>IFERROR(__xludf.DUMMYFUNCTION("IFERROR(AVERAGE(FILTER('Respostas LLM'!$G:$G,'Respostas LLM'!$A:$A=$A4,'Respostas LLM'!$G:$G&lt;&gt;"""")),"""")"),2.6666666666666665)</f>
        <v>2.666666667</v>
      </c>
      <c r="K4" s="44">
        <f>IFERROR(__xludf.DUMMYFUNCTION("IFERROR(AVERAGE(FILTER('Respostas LLM'!$H:$H,'Respostas LLM'!$A:$A=$A4)),"""")"),0.3333333333333333)</f>
        <v>0.3333333333</v>
      </c>
      <c r="L4" s="44">
        <f>IFERROR(__xludf.DUMMYFUNCTION("IFERROR(MAX(FILTER('Respostas LLM'!$H:$H,'Respostas LLM'!$A:$A=$A4)),"""")"),1.0)</f>
        <v>1</v>
      </c>
      <c r="M4" s="44">
        <f>IFERROR(__xludf.DUMMYFUNCTION("IFERROR(AVERAGE(FILTER('Respostas LLM'!$I:$I,'Respostas LLM'!$A:$A=$A4)),"""")"),1.3333333333333333)</f>
        <v>1.333333333</v>
      </c>
      <c r="N4" s="18" t="str">
        <f t="shared" si="4"/>
        <v>Sim</v>
      </c>
      <c r="O4" s="56" t="str">
        <f t="shared" si="5"/>
        <v>Consenso unânime correto</v>
      </c>
    </row>
    <row r="5" ht="22.5" customHeight="1">
      <c r="A5" s="22" t="s">
        <v>131</v>
      </c>
      <c r="B5" s="18" t="str">
        <f>IFERROR(__xludf.DUMMYFUNCTION("IFERROR(INDEX(FILTER('Respostas LLM'!$E:$E,'Respostas LLM'!$A:$A=$A5,'Respostas LLM'!$B:$B=""ChatGPT""),1),"""")"),"C")</f>
        <v>C</v>
      </c>
      <c r="C5" s="18" t="str">
        <f>IFERROR(__xludf.DUMMYFUNCTION("IFERROR(INDEX(FILTER('Respostas LLM'!$E:$E,'Respostas LLM'!$A:$A=$A5,'Respostas LLM'!$B:$B=""Gemini""),1),"""")"),"C")</f>
        <v>C</v>
      </c>
      <c r="D5" s="18" t="str">
        <f>IFERROR(__xludf.DUMMYFUNCTION("IFERROR(INDEX(FILTER('Respostas LLM'!$E:$E,'Respostas LLM'!$A:$A=$A5,'Respostas LLM'!$B:$B=""Claude""),1),"""")"),"C")</f>
        <v>C</v>
      </c>
      <c r="E5" s="18" t="str">
        <f t="shared" si="1"/>
        <v>3/3</v>
      </c>
      <c r="F5" s="18" t="str">
        <f t="shared" si="2"/>
        <v>C</v>
      </c>
      <c r="G5" s="18" t="str">
        <f>IFERROR(__xludf.DUMMYFUNCTION("IFERROR(INDEX(FILTER(Gabarito_INEP!$B:$B,Gabarito_INEP!$A:$A=$A5),1),"""")"),"C")</f>
        <v>C</v>
      </c>
      <c r="H5" s="18" t="str">
        <f t="shared" si="3"/>
        <v>3/3</v>
      </c>
      <c r="I5" s="44">
        <f>IFERROR(__xludf.DUMMYFUNCTION("IFERROR(AVERAGE(FILTER('Respostas LLM'!$F:$F,'Respostas LLM'!$A:$A=$A5)),"""")"),97.0)</f>
        <v>97</v>
      </c>
      <c r="J5" s="44">
        <f>IFERROR(__xludf.DUMMYFUNCTION("IFERROR(AVERAGE(FILTER('Respostas LLM'!$G:$G,'Respostas LLM'!$A:$A=$A5,'Respostas LLM'!$G:$G&lt;&gt;"""")),"""")"),2.6666666666666665)</f>
        <v>2.666666667</v>
      </c>
      <c r="K5" s="44">
        <f>IFERROR(__xludf.DUMMYFUNCTION("IFERROR(AVERAGE(FILTER('Respostas LLM'!$H:$H,'Respostas LLM'!$A:$A=$A5)),"""")"),0.0)</f>
        <v>0</v>
      </c>
      <c r="L5" s="44">
        <f>IFERROR(__xludf.DUMMYFUNCTION("IFERROR(MAX(FILTER('Respostas LLM'!$H:$H,'Respostas LLM'!$A:$A=$A5)),"""")"),0.0)</f>
        <v>0</v>
      </c>
      <c r="M5" s="44">
        <f>IFERROR(__xludf.DUMMYFUNCTION("IFERROR(AVERAGE(FILTER('Respostas LLM'!$I:$I,'Respostas LLM'!$A:$A=$A5)),"""")"),1.0)</f>
        <v>1</v>
      </c>
      <c r="N5" s="18" t="str">
        <f t="shared" si="4"/>
        <v>Sim</v>
      </c>
      <c r="O5" s="56" t="str">
        <f t="shared" si="5"/>
        <v>Consenso unânime correto</v>
      </c>
    </row>
    <row r="6" ht="22.5" customHeight="1">
      <c r="A6" s="9" t="s">
        <v>135</v>
      </c>
      <c r="B6" s="18" t="str">
        <f>IFERROR(__xludf.DUMMYFUNCTION("IFERROR(INDEX(FILTER('Respostas LLM'!$E:$E,'Respostas LLM'!$A:$A=$A6,'Respostas LLM'!$B:$B=""ChatGPT""),1),"""")"),"C")</f>
        <v>C</v>
      </c>
      <c r="C6" s="18" t="str">
        <f>IFERROR(__xludf.DUMMYFUNCTION("IFERROR(INDEX(FILTER('Respostas LLM'!$E:$E,'Respostas LLM'!$A:$A=$A6,'Respostas LLM'!$B:$B=""Gemini""),1),"""")"),"C")</f>
        <v>C</v>
      </c>
      <c r="D6" s="18" t="str">
        <f>IFERROR(__xludf.DUMMYFUNCTION("IFERROR(INDEX(FILTER('Respostas LLM'!$E:$E,'Respostas LLM'!$A:$A=$A6,'Respostas LLM'!$B:$B=""Claude""),1),"""")"),"C")</f>
        <v>C</v>
      </c>
      <c r="E6" s="18" t="str">
        <f t="shared" si="1"/>
        <v>3/3</v>
      </c>
      <c r="F6" s="18" t="str">
        <f t="shared" si="2"/>
        <v>C</v>
      </c>
      <c r="G6" s="18" t="str">
        <f>IFERROR(__xludf.DUMMYFUNCTION("IFERROR(INDEX(FILTER(Gabarito_INEP!$B:$B,Gabarito_INEP!$A:$A=$A6),1),"""")"),"C")</f>
        <v>C</v>
      </c>
      <c r="H6" s="18" t="str">
        <f t="shared" si="3"/>
        <v>3/3</v>
      </c>
      <c r="I6" s="44">
        <f>IFERROR(__xludf.DUMMYFUNCTION("IFERROR(AVERAGE(FILTER('Respostas LLM'!$F:$F,'Respostas LLM'!$A:$A=$A6)),"""")"),94.66666666666667)</f>
        <v>94.66666667</v>
      </c>
      <c r="J6" s="44">
        <f>IFERROR(__xludf.DUMMYFUNCTION("IFERROR(AVERAGE(FILTER('Respostas LLM'!$G:$G,'Respostas LLM'!$A:$A=$A6,'Respostas LLM'!$G:$G&lt;&gt;"""")),"""")"),3.3333333333333335)</f>
        <v>3.333333333</v>
      </c>
      <c r="K6" s="44">
        <f>IFERROR(__xludf.DUMMYFUNCTION("IFERROR(AVERAGE(FILTER('Respostas LLM'!$H:$H,'Respostas LLM'!$A:$A=$A6)),"""")"),1.0)</f>
        <v>1</v>
      </c>
      <c r="L6" s="44">
        <f>IFERROR(__xludf.DUMMYFUNCTION("IFERROR(MAX(FILTER('Respostas LLM'!$H:$H,'Respostas LLM'!$A:$A=$A6)),"""")"),1.0)</f>
        <v>1</v>
      </c>
      <c r="M6" s="44">
        <f>IFERROR(__xludf.DUMMYFUNCTION("IFERROR(AVERAGE(FILTER('Respostas LLM'!$I:$I,'Respostas LLM'!$A:$A=$A6)),"""")"),1.5)</f>
        <v>1.5</v>
      </c>
      <c r="N6" s="18" t="str">
        <f t="shared" si="4"/>
        <v>Sim</v>
      </c>
      <c r="O6" s="56" t="str">
        <f t="shared" si="5"/>
        <v>Consenso unânime correto</v>
      </c>
    </row>
    <row r="7" ht="22.5" customHeight="1">
      <c r="A7" s="22" t="s">
        <v>140</v>
      </c>
      <c r="B7" s="18" t="str">
        <f>IFERROR(__xludf.DUMMYFUNCTION("IFERROR(INDEX(FILTER('Respostas LLM'!$E:$E,'Respostas LLM'!$A:$A=$A7,'Respostas LLM'!$B:$B=""ChatGPT""),1),"""")"),"A")</f>
        <v>A</v>
      </c>
      <c r="C7" s="18" t="str">
        <f>IFERROR(__xludf.DUMMYFUNCTION("IFERROR(INDEX(FILTER('Respostas LLM'!$E:$E,'Respostas LLM'!$A:$A=$A7,'Respostas LLM'!$B:$B=""Gemini""),1),"""")"),"C")</f>
        <v>C</v>
      </c>
      <c r="D7" s="18" t="str">
        <f>IFERROR(__xludf.DUMMYFUNCTION("IFERROR(INDEX(FILTER('Respostas LLM'!$E:$E,'Respostas LLM'!$A:$A=$A7,'Respostas LLM'!$B:$B=""Claude""),1),"""")"),"C")</f>
        <v>C</v>
      </c>
      <c r="E7" s="18" t="str">
        <f t="shared" si="1"/>
        <v>2/3</v>
      </c>
      <c r="F7" s="18" t="str">
        <f t="shared" si="2"/>
        <v>C</v>
      </c>
      <c r="G7" s="18" t="str">
        <f>IFERROR(__xludf.DUMMYFUNCTION("IFERROR(INDEX(FILTER(Gabarito_INEP!$B:$B,Gabarito_INEP!$A:$A=$A7),1),"""")"),"A")</f>
        <v>A</v>
      </c>
      <c r="H7" s="18" t="str">
        <f t="shared" si="3"/>
        <v>1/3</v>
      </c>
      <c r="I7" s="44">
        <f>IFERROR(__xludf.DUMMYFUNCTION("IFERROR(AVERAGE(FILTER('Respostas LLM'!$F:$F,'Respostas LLM'!$A:$A=$A7)),"""")"),89.0)</f>
        <v>89</v>
      </c>
      <c r="J7" s="44">
        <f>IFERROR(__xludf.DUMMYFUNCTION("IFERROR(AVERAGE(FILTER('Respostas LLM'!$G:$G,'Respostas LLM'!$A:$A=$A7,'Respostas LLM'!$G:$G&lt;&gt;"""")),"""")"),2.3333333333333335)</f>
        <v>2.333333333</v>
      </c>
      <c r="K7" s="44">
        <f>IFERROR(__xludf.DUMMYFUNCTION("IFERROR(AVERAGE(FILTER('Respostas LLM'!$H:$H,'Respostas LLM'!$A:$A=$A7)),"""")"),0.3333333333333333)</f>
        <v>0.3333333333</v>
      </c>
      <c r="L7" s="44">
        <f>IFERROR(__xludf.DUMMYFUNCTION("IFERROR(MAX(FILTER('Respostas LLM'!$H:$H,'Respostas LLM'!$A:$A=$A7)),"""")"),1.0)</f>
        <v>1</v>
      </c>
      <c r="M7" s="44">
        <f>IFERROR(__xludf.DUMMYFUNCTION("IFERROR(AVERAGE(FILTER('Respostas LLM'!$I:$I,'Respostas LLM'!$A:$A=$A7)),"""")"),1.0)</f>
        <v>1</v>
      </c>
      <c r="N7" s="18" t="str">
        <f t="shared" si="4"/>
        <v>Não</v>
      </c>
      <c r="O7" s="56" t="str">
        <f t="shared" si="5"/>
        <v>Maioria incorreta — 1 LLM acertou</v>
      </c>
    </row>
    <row r="8" ht="22.5" customHeight="1">
      <c r="A8" s="9" t="s">
        <v>142</v>
      </c>
      <c r="B8" s="18" t="str">
        <f>IFERROR(__xludf.DUMMYFUNCTION("IFERROR(INDEX(FILTER('Respostas LLM'!$E:$E,'Respostas LLM'!$A:$A=$A8,'Respostas LLM'!$B:$B=""ChatGPT""),1),"""")"),"E")</f>
        <v>E</v>
      </c>
      <c r="C8" s="18" t="str">
        <f>IFERROR(__xludf.DUMMYFUNCTION("IFERROR(INDEX(FILTER('Respostas LLM'!$E:$E,'Respostas LLM'!$A:$A=$A8,'Respostas LLM'!$B:$B=""Gemini""),1),"""")"),"E")</f>
        <v>E</v>
      </c>
      <c r="D8" s="18" t="str">
        <f>IFERROR(__xludf.DUMMYFUNCTION("IFERROR(INDEX(FILTER('Respostas LLM'!$E:$E,'Respostas LLM'!$A:$A=$A8,'Respostas LLM'!$B:$B=""Claude""),1),"""")"),"E")</f>
        <v>E</v>
      </c>
      <c r="E8" s="18" t="str">
        <f t="shared" si="1"/>
        <v>3/3</v>
      </c>
      <c r="F8" s="18" t="str">
        <f t="shared" si="2"/>
        <v>E</v>
      </c>
      <c r="G8" s="18" t="str">
        <f>IFERROR(__xludf.DUMMYFUNCTION("IFERROR(INDEX(FILTER(Gabarito_INEP!$B:$B,Gabarito_INEP!$A:$A=$A8),1),"""")"),"E")</f>
        <v>E</v>
      </c>
      <c r="H8" s="18" t="str">
        <f t="shared" si="3"/>
        <v>3/3</v>
      </c>
      <c r="I8" s="44">
        <f>IFERROR(__xludf.DUMMYFUNCTION("IFERROR(AVERAGE(FILTER('Respostas LLM'!$F:$F,'Respostas LLM'!$A:$A=$A8)),"""")"),97.0)</f>
        <v>97</v>
      </c>
      <c r="J8" s="44">
        <f>IFERROR(__xludf.DUMMYFUNCTION("IFERROR(AVERAGE(FILTER('Respostas LLM'!$G:$G,'Respostas LLM'!$A:$A=$A8,'Respostas LLM'!$G:$G&lt;&gt;"""")),"""")"),3.3333333333333335)</f>
        <v>3.333333333</v>
      </c>
      <c r="K8" s="44">
        <f>IFERROR(__xludf.DUMMYFUNCTION("IFERROR(AVERAGE(FILTER('Respostas LLM'!$H:$H,'Respostas LLM'!$A:$A=$A8)),"""")"),0.0)</f>
        <v>0</v>
      </c>
      <c r="L8" s="44">
        <f>IFERROR(__xludf.DUMMYFUNCTION("IFERROR(MAX(FILTER('Respostas LLM'!$H:$H,'Respostas LLM'!$A:$A=$A8)),"""")"),0.0)</f>
        <v>0</v>
      </c>
      <c r="M8" s="44">
        <f>IFERROR(__xludf.DUMMYFUNCTION("IFERROR(AVERAGE(FILTER('Respostas LLM'!$I:$I,'Respostas LLM'!$A:$A=$A8)),"""")"),1.3333333333333333)</f>
        <v>1.333333333</v>
      </c>
      <c r="N8" s="18" t="str">
        <f t="shared" si="4"/>
        <v>Sim</v>
      </c>
      <c r="O8" s="56" t="str">
        <f t="shared" si="5"/>
        <v>Consenso unânime correto</v>
      </c>
    </row>
    <row r="9" ht="22.5" customHeight="1">
      <c r="A9" s="22" t="s">
        <v>148</v>
      </c>
      <c r="B9" s="18" t="str">
        <f>IFERROR(__xludf.DUMMYFUNCTION("IFERROR(INDEX(FILTER('Respostas LLM'!$E:$E,'Respostas LLM'!$A:$A=$A9,'Respostas LLM'!$B:$B=""ChatGPT""),1),"""")"),"D")</f>
        <v>D</v>
      </c>
      <c r="C9" s="18" t="str">
        <f>IFERROR(__xludf.DUMMYFUNCTION("IFERROR(INDEX(FILTER('Respostas LLM'!$E:$E,'Respostas LLM'!$A:$A=$A9,'Respostas LLM'!$B:$B=""Gemini""),1),"""")"),"D")</f>
        <v>D</v>
      </c>
      <c r="D9" s="18" t="str">
        <f>IFERROR(__xludf.DUMMYFUNCTION("IFERROR(INDEX(FILTER('Respostas LLM'!$E:$E,'Respostas LLM'!$A:$A=$A9,'Respostas LLM'!$B:$B=""Claude""),1),"""")"),"D")</f>
        <v>D</v>
      </c>
      <c r="E9" s="18" t="str">
        <f t="shared" si="1"/>
        <v>3/3</v>
      </c>
      <c r="F9" s="18" t="str">
        <f t="shared" si="2"/>
        <v>D</v>
      </c>
      <c r="G9" s="18" t="str">
        <f>IFERROR(__xludf.DUMMYFUNCTION("IFERROR(INDEX(FILTER(Gabarito_INEP!$B:$B,Gabarito_INEP!$A:$A=$A9),1),"""")"),"D")</f>
        <v>D</v>
      </c>
      <c r="H9" s="18" t="str">
        <f t="shared" si="3"/>
        <v>3/3</v>
      </c>
      <c r="I9" s="44">
        <f>IFERROR(__xludf.DUMMYFUNCTION("IFERROR(AVERAGE(FILTER('Respostas LLM'!$F:$F,'Respostas LLM'!$A:$A=$A9)),"""")"),99.33333333333333)</f>
        <v>99.33333333</v>
      </c>
      <c r="J9" s="44">
        <f>IFERROR(__xludf.DUMMYFUNCTION("IFERROR(AVERAGE(FILTER('Respostas LLM'!$G:$G,'Respostas LLM'!$A:$A=$A9,'Respostas LLM'!$G:$G&lt;&gt;"""")),"""")"),2.6666666666666665)</f>
        <v>2.666666667</v>
      </c>
      <c r="K9" s="44">
        <f>IFERROR(__xludf.DUMMYFUNCTION("IFERROR(AVERAGE(FILTER('Respostas LLM'!$H:$H,'Respostas LLM'!$A:$A=$A9)),"""")"),0.0)</f>
        <v>0</v>
      </c>
      <c r="L9" s="44">
        <f>IFERROR(__xludf.DUMMYFUNCTION("IFERROR(MAX(FILTER('Respostas LLM'!$H:$H,'Respostas LLM'!$A:$A=$A9)),"""")"),0.0)</f>
        <v>0</v>
      </c>
      <c r="M9" s="44">
        <f>IFERROR(__xludf.DUMMYFUNCTION("IFERROR(AVERAGE(FILTER('Respostas LLM'!$I:$I,'Respostas LLM'!$A:$A=$A9)),"""")"),1.6666666666666667)</f>
        <v>1.666666667</v>
      </c>
      <c r="N9" s="18" t="str">
        <f t="shared" si="4"/>
        <v>Sim</v>
      </c>
      <c r="O9" s="56" t="str">
        <f t="shared" si="5"/>
        <v>Consenso unânime correto</v>
      </c>
    </row>
    <row r="10" ht="22.5" customHeight="1">
      <c r="A10" s="9" t="s">
        <v>150</v>
      </c>
      <c r="B10" s="18" t="str">
        <f>IFERROR(__xludf.DUMMYFUNCTION("IFERROR(INDEX(FILTER('Respostas LLM'!$E:$E,'Respostas LLM'!$A:$A=$A10,'Respostas LLM'!$B:$B=""ChatGPT""),1),"""")"),"B")</f>
        <v>B</v>
      </c>
      <c r="C10" s="18" t="str">
        <f>IFERROR(__xludf.DUMMYFUNCTION("IFERROR(INDEX(FILTER('Respostas LLM'!$E:$E,'Respostas LLM'!$A:$A=$A10,'Respostas LLM'!$B:$B=""Gemini""),1),"""")"),"B")</f>
        <v>B</v>
      </c>
      <c r="D10" s="18" t="str">
        <f>IFERROR(__xludf.DUMMYFUNCTION("IFERROR(INDEX(FILTER('Respostas LLM'!$E:$E,'Respostas LLM'!$A:$A=$A10,'Respostas LLM'!$B:$B=""Claude""),1),"""")"),"B")</f>
        <v>B</v>
      </c>
      <c r="E10" s="18" t="str">
        <f t="shared" si="1"/>
        <v>3/3</v>
      </c>
      <c r="F10" s="18" t="str">
        <f t="shared" si="2"/>
        <v>B</v>
      </c>
      <c r="G10" s="18" t="str">
        <f>IFERROR(__xludf.DUMMYFUNCTION("IFERROR(INDEX(FILTER(Gabarito_INEP!$B:$B,Gabarito_INEP!$A:$A=$A10),1),"""")"),"B")</f>
        <v>B</v>
      </c>
      <c r="H10" s="18" t="str">
        <f t="shared" si="3"/>
        <v>3/3</v>
      </c>
      <c r="I10" s="44">
        <f>IFERROR(__xludf.DUMMYFUNCTION("IFERROR(AVERAGE(FILTER('Respostas LLM'!$F:$F,'Respostas LLM'!$A:$A=$A10)),"""")"),99.66666666666667)</f>
        <v>99.66666667</v>
      </c>
      <c r="J10" s="44">
        <f>IFERROR(__xludf.DUMMYFUNCTION("IFERROR(AVERAGE(FILTER('Respostas LLM'!$G:$G,'Respostas LLM'!$A:$A=$A10,'Respostas LLM'!$G:$G&lt;&gt;"""")),"""")"),1.6666666666666667)</f>
        <v>1.666666667</v>
      </c>
      <c r="K10" s="44">
        <f>IFERROR(__xludf.DUMMYFUNCTION("IFERROR(AVERAGE(FILTER('Respostas LLM'!$H:$H,'Respostas LLM'!$A:$A=$A10)),"""")"),0.0)</f>
        <v>0</v>
      </c>
      <c r="L10" s="44">
        <f>IFERROR(__xludf.DUMMYFUNCTION("IFERROR(MAX(FILTER('Respostas LLM'!$H:$H,'Respostas LLM'!$A:$A=$A10)),"""")"),0.0)</f>
        <v>0</v>
      </c>
      <c r="M10" s="44">
        <f>IFERROR(__xludf.DUMMYFUNCTION("IFERROR(AVERAGE(FILTER('Respostas LLM'!$I:$I,'Respostas LLM'!$A:$A=$A10)),"""")"),1.0)</f>
        <v>1</v>
      </c>
      <c r="N10" s="18" t="str">
        <f t="shared" si="4"/>
        <v>Sim</v>
      </c>
      <c r="O10" s="56" t="str">
        <f t="shared" si="5"/>
        <v>Consenso unânime correto</v>
      </c>
    </row>
    <row r="11" ht="22.5" customHeight="1">
      <c r="A11" s="22" t="s">
        <v>153</v>
      </c>
      <c r="B11" s="18" t="str">
        <f>IFERROR(__xludf.DUMMYFUNCTION("IFERROR(INDEX(FILTER('Respostas LLM'!$E:$E,'Respostas LLM'!$A:$A=$A11,'Respostas LLM'!$B:$B=""ChatGPT""),1),"""")"),"A")</f>
        <v>A</v>
      </c>
      <c r="C11" s="18" t="str">
        <f>IFERROR(__xludf.DUMMYFUNCTION("IFERROR(INDEX(FILTER('Respostas LLM'!$E:$E,'Respostas LLM'!$A:$A=$A11,'Respostas LLM'!$B:$B=""Gemini""),1),"""")"),"A")</f>
        <v>A</v>
      </c>
      <c r="D11" s="18" t="str">
        <f>IFERROR(__xludf.DUMMYFUNCTION("IFERROR(INDEX(FILTER('Respostas LLM'!$E:$E,'Respostas LLM'!$A:$A=$A11,'Respostas LLM'!$B:$B=""Claude""),1),"""")"),"A")</f>
        <v>A</v>
      </c>
      <c r="E11" s="18" t="str">
        <f t="shared" si="1"/>
        <v>3/3</v>
      </c>
      <c r="F11" s="18" t="str">
        <f t="shared" si="2"/>
        <v>A</v>
      </c>
      <c r="G11" s="18" t="str">
        <f>IFERROR(__xludf.DUMMYFUNCTION("IFERROR(INDEX(FILTER(Gabarito_INEP!$B:$B,Gabarito_INEP!$A:$A=$A11),1),"""")"),"A")</f>
        <v>A</v>
      </c>
      <c r="H11" s="18" t="str">
        <f t="shared" si="3"/>
        <v>3/3</v>
      </c>
      <c r="I11" s="44">
        <f>IFERROR(__xludf.DUMMYFUNCTION("IFERROR(AVERAGE(FILTER('Respostas LLM'!$F:$F,'Respostas LLM'!$A:$A=$A11)),"""")"),98.0)</f>
        <v>98</v>
      </c>
      <c r="J11" s="44">
        <f>IFERROR(__xludf.DUMMYFUNCTION("IFERROR(AVERAGE(FILTER('Respostas LLM'!$G:$G,'Respostas LLM'!$A:$A=$A11,'Respostas LLM'!$G:$G&lt;&gt;"""")),"""")"),2.6666666666666665)</f>
        <v>2.666666667</v>
      </c>
      <c r="K11" s="44">
        <f>IFERROR(__xludf.DUMMYFUNCTION("IFERROR(AVERAGE(FILTER('Respostas LLM'!$H:$H,'Respostas LLM'!$A:$A=$A11)),"""")"),0.0)</f>
        <v>0</v>
      </c>
      <c r="L11" s="44">
        <f>IFERROR(__xludf.DUMMYFUNCTION("IFERROR(MAX(FILTER('Respostas LLM'!$H:$H,'Respostas LLM'!$A:$A=$A11)),"""")"),0.0)</f>
        <v>0</v>
      </c>
      <c r="M11" s="44">
        <f>IFERROR(__xludf.DUMMYFUNCTION("IFERROR(AVERAGE(FILTER('Respostas LLM'!$I:$I,'Respostas LLM'!$A:$A=$A11)),"""")"),1.0)</f>
        <v>1</v>
      </c>
      <c r="N11" s="18" t="str">
        <f t="shared" si="4"/>
        <v>Sim</v>
      </c>
      <c r="O11" s="56" t="str">
        <f t="shared" si="5"/>
        <v>Consenso unânime correto</v>
      </c>
    </row>
    <row r="12" ht="22.5" customHeight="1">
      <c r="A12" s="9" t="s">
        <v>155</v>
      </c>
      <c r="B12" s="18" t="str">
        <f>IFERROR(__xludf.DUMMYFUNCTION("IFERROR(INDEX(FILTER('Respostas LLM'!$E:$E,'Respostas LLM'!$A:$A=$A12,'Respostas LLM'!$B:$B=""ChatGPT""),1),"""")"),"A")</f>
        <v>A</v>
      </c>
      <c r="C12" s="18" t="str">
        <f>IFERROR(__xludf.DUMMYFUNCTION("IFERROR(INDEX(FILTER('Respostas LLM'!$E:$E,'Respostas LLM'!$A:$A=$A12,'Respostas LLM'!$B:$B=""Gemini""),1),"""")"),"A")</f>
        <v>A</v>
      </c>
      <c r="D12" s="18" t="str">
        <f>IFERROR(__xludf.DUMMYFUNCTION("IFERROR(INDEX(FILTER('Respostas LLM'!$E:$E,'Respostas LLM'!$A:$A=$A12,'Respostas LLM'!$B:$B=""Claude""),1),"""")"),"A")</f>
        <v>A</v>
      </c>
      <c r="E12" s="18" t="str">
        <f t="shared" si="1"/>
        <v>3/3</v>
      </c>
      <c r="F12" s="18" t="str">
        <f t="shared" si="2"/>
        <v>A</v>
      </c>
      <c r="G12" s="18" t="str">
        <f>IFERROR(__xludf.DUMMYFUNCTION("IFERROR(INDEX(FILTER(Gabarito_INEP!$B:$B,Gabarito_INEP!$A:$A=$A12),1),"""")"),"A")</f>
        <v>A</v>
      </c>
      <c r="H12" s="18" t="str">
        <f t="shared" si="3"/>
        <v>3/3</v>
      </c>
      <c r="I12" s="44">
        <f>IFERROR(__xludf.DUMMYFUNCTION("IFERROR(AVERAGE(FILTER('Respostas LLM'!$F:$F,'Respostas LLM'!$A:$A=$A12)),"""")"),98.0)</f>
        <v>98</v>
      </c>
      <c r="J12" s="44">
        <f>IFERROR(__xludf.DUMMYFUNCTION("IFERROR(AVERAGE(FILTER('Respostas LLM'!$G:$G,'Respostas LLM'!$A:$A=$A12,'Respostas LLM'!$G:$G&lt;&gt;"""")),"""")"),3.0)</f>
        <v>3</v>
      </c>
      <c r="K12" s="44">
        <f>IFERROR(__xludf.DUMMYFUNCTION("IFERROR(AVERAGE(FILTER('Respostas LLM'!$H:$H,'Respostas LLM'!$A:$A=$A12)),"""")"),0.0)</f>
        <v>0</v>
      </c>
      <c r="L12" s="44">
        <f>IFERROR(__xludf.DUMMYFUNCTION("IFERROR(MAX(FILTER('Respostas LLM'!$H:$H,'Respostas LLM'!$A:$A=$A12)),"""")"),0.0)</f>
        <v>0</v>
      </c>
      <c r="M12" s="44">
        <f>IFERROR(__xludf.DUMMYFUNCTION("IFERROR(AVERAGE(FILTER('Respostas LLM'!$I:$I,'Respostas LLM'!$A:$A=$A12)),"""")"),1.3333333333333333)</f>
        <v>1.333333333</v>
      </c>
      <c r="N12" s="18" t="str">
        <f t="shared" si="4"/>
        <v>Sim</v>
      </c>
      <c r="O12" s="56" t="str">
        <f t="shared" si="5"/>
        <v>Consenso unânime correto</v>
      </c>
    </row>
    <row r="13" ht="22.5" customHeight="1">
      <c r="A13" s="22" t="s">
        <v>159</v>
      </c>
      <c r="B13" s="18" t="str">
        <f>IFERROR(__xludf.DUMMYFUNCTION("IFERROR(INDEX(FILTER('Respostas LLM'!$E:$E,'Respostas LLM'!$A:$A=$A13,'Respostas LLM'!$B:$B=""ChatGPT""),1),"""")"),"A")</f>
        <v>A</v>
      </c>
      <c r="C13" s="18" t="str">
        <f>IFERROR(__xludf.DUMMYFUNCTION("IFERROR(INDEX(FILTER('Respostas LLM'!$E:$E,'Respostas LLM'!$A:$A=$A13,'Respostas LLM'!$B:$B=""Gemini""),1),"""")"),"A")</f>
        <v>A</v>
      </c>
      <c r="D13" s="18" t="str">
        <f>IFERROR(__xludf.DUMMYFUNCTION("IFERROR(INDEX(FILTER('Respostas LLM'!$E:$E,'Respostas LLM'!$A:$A=$A13,'Respostas LLM'!$B:$B=""Claude""),1),"""")"),"A")</f>
        <v>A</v>
      </c>
      <c r="E13" s="18" t="str">
        <f t="shared" si="1"/>
        <v>3/3</v>
      </c>
      <c r="F13" s="18" t="str">
        <f t="shared" si="2"/>
        <v>A</v>
      </c>
      <c r="G13" s="18" t="str">
        <f>IFERROR(__xludf.DUMMYFUNCTION("IFERROR(INDEX(FILTER(Gabarito_INEP!$B:$B,Gabarito_INEP!$A:$A=$A13),1),"""")"),"A")</f>
        <v>A</v>
      </c>
      <c r="H13" s="18" t="str">
        <f t="shared" si="3"/>
        <v>3/3</v>
      </c>
      <c r="I13" s="44">
        <f>IFERROR(__xludf.DUMMYFUNCTION("IFERROR(AVERAGE(FILTER('Respostas LLM'!$F:$F,'Respostas LLM'!$A:$A=$A13)),"""")"),98.66666666666667)</f>
        <v>98.66666667</v>
      </c>
      <c r="J13" s="44">
        <f>IFERROR(__xludf.DUMMYFUNCTION("IFERROR(AVERAGE(FILTER('Respostas LLM'!$G:$G,'Respostas LLM'!$A:$A=$A13,'Respostas LLM'!$G:$G&lt;&gt;"""")),"""")"),2.6666666666666665)</f>
        <v>2.666666667</v>
      </c>
      <c r="K13" s="44">
        <f>IFERROR(__xludf.DUMMYFUNCTION("IFERROR(AVERAGE(FILTER('Respostas LLM'!$H:$H,'Respostas LLM'!$A:$A=$A13)),"""")"),0.0)</f>
        <v>0</v>
      </c>
      <c r="L13" s="44">
        <f>IFERROR(__xludf.DUMMYFUNCTION("IFERROR(MAX(FILTER('Respostas LLM'!$H:$H,'Respostas LLM'!$A:$A=$A13)),"""")"),0.0)</f>
        <v>0</v>
      </c>
      <c r="M13" s="44">
        <f>IFERROR(__xludf.DUMMYFUNCTION("IFERROR(AVERAGE(FILTER('Respostas LLM'!$I:$I,'Respostas LLM'!$A:$A=$A13)),"""")"),1.3333333333333333)</f>
        <v>1.333333333</v>
      </c>
      <c r="N13" s="18" t="str">
        <f t="shared" si="4"/>
        <v>Sim</v>
      </c>
      <c r="O13" s="56" t="str">
        <f t="shared" si="5"/>
        <v>Consenso unânime correto</v>
      </c>
    </row>
    <row r="14" ht="22.5" customHeight="1">
      <c r="A14" s="9" t="s">
        <v>160</v>
      </c>
      <c r="B14" s="18" t="str">
        <f>IFERROR(__xludf.DUMMYFUNCTION("IFERROR(INDEX(FILTER('Respostas LLM'!$E:$E,'Respostas LLM'!$A:$A=$A14,'Respostas LLM'!$B:$B=""ChatGPT""),1),"""")"),"C")</f>
        <v>C</v>
      </c>
      <c r="C14" s="18" t="str">
        <f>IFERROR(__xludf.DUMMYFUNCTION("IFERROR(INDEX(FILTER('Respostas LLM'!$E:$E,'Respostas LLM'!$A:$A=$A14,'Respostas LLM'!$B:$B=""Gemini""),1),"""")"),"E")</f>
        <v>E</v>
      </c>
      <c r="D14" s="18" t="str">
        <f>IFERROR(__xludf.DUMMYFUNCTION("IFERROR(INDEX(FILTER('Respostas LLM'!$E:$E,'Respostas LLM'!$A:$A=$A14,'Respostas LLM'!$B:$B=""Claude""),1),"""")"),"E")</f>
        <v>E</v>
      </c>
      <c r="E14" s="18" t="str">
        <f t="shared" si="1"/>
        <v>2/3</v>
      </c>
      <c r="F14" s="18" t="str">
        <f t="shared" si="2"/>
        <v>E</v>
      </c>
      <c r="G14" s="18" t="str">
        <f>IFERROR(__xludf.DUMMYFUNCTION("IFERROR(INDEX(FILTER(Gabarito_INEP!$B:$B,Gabarito_INEP!$A:$A=$A14),1),"""")"),"E")</f>
        <v>E</v>
      </c>
      <c r="H14" s="18" t="str">
        <f t="shared" si="3"/>
        <v>2/3</v>
      </c>
      <c r="I14" s="44">
        <f>IFERROR(__xludf.DUMMYFUNCTION("IFERROR(AVERAGE(FILTER('Respostas LLM'!$F:$F,'Respostas LLM'!$A:$A=$A14)),"""")"),94.33333333333333)</f>
        <v>94.33333333</v>
      </c>
      <c r="J14" s="44">
        <f>IFERROR(__xludf.DUMMYFUNCTION("IFERROR(AVERAGE(FILTER('Respostas LLM'!$G:$G,'Respostas LLM'!$A:$A=$A14,'Respostas LLM'!$G:$G&lt;&gt;"""")),"""")"),3.0)</f>
        <v>3</v>
      </c>
      <c r="K14" s="44">
        <f>IFERROR(__xludf.DUMMYFUNCTION("IFERROR(AVERAGE(FILTER('Respostas LLM'!$H:$H,'Respostas LLM'!$A:$A=$A14)),"""")"),0.3333333333333333)</f>
        <v>0.3333333333</v>
      </c>
      <c r="L14" s="44">
        <f>IFERROR(__xludf.DUMMYFUNCTION("IFERROR(MAX(FILTER('Respostas LLM'!$H:$H,'Respostas LLM'!$A:$A=$A14)),"""")"),1.0)</f>
        <v>1</v>
      </c>
      <c r="M14" s="44">
        <f>IFERROR(__xludf.DUMMYFUNCTION("IFERROR(AVERAGE(FILTER('Respostas LLM'!$I:$I,'Respostas LLM'!$A:$A=$A14)),"""")"),1.3333333333333333)</f>
        <v>1.333333333</v>
      </c>
      <c r="N14" s="18" t="str">
        <f t="shared" si="4"/>
        <v>Sim</v>
      </c>
      <c r="O14" s="56" t="str">
        <f t="shared" si="5"/>
        <v>Maioria correta — 1 LLM divergiu</v>
      </c>
    </row>
  </sheetData>
  <dataValidations>
    <dataValidation allowBlank="1" showDropDown="1" sqref="A2:A14"/>
    <dataValidation type="custom" allowBlank="1" showDropDown="1" sqref="I2:I14 K2:K14">
      <formula1>AND(ISNUMBER(I2),(NOT(OR(NOT(ISERROR(DATEVALUE(I2))), AND(ISNUMBER(I2), LEFT(CELL("format", I2))="D")))))</formula1>
    </dataValidation>
    <dataValidation allowBlank="1" showDropDown="1" sqref="B2:F14 N2:N14"/>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3" t="s">
        <v>3</v>
      </c>
      <c r="B1" s="3" t="s">
        <v>11</v>
      </c>
      <c r="C1" s="3" t="s">
        <v>14</v>
      </c>
      <c r="D1" s="3" t="s">
        <v>18</v>
      </c>
      <c r="E1" s="5" t="s">
        <v>21</v>
      </c>
      <c r="F1" s="5" t="s">
        <v>23</v>
      </c>
      <c r="G1" s="5" t="s">
        <v>25</v>
      </c>
    </row>
    <row r="2" ht="26.25" customHeight="1">
      <c r="A2" s="8" t="s">
        <v>28</v>
      </c>
      <c r="B2" s="10" t="s">
        <v>39</v>
      </c>
      <c r="C2" s="12" t="s">
        <v>44</v>
      </c>
      <c r="D2" s="10" t="s">
        <v>47</v>
      </c>
      <c r="E2" s="21">
        <v>46264.0</v>
      </c>
      <c r="F2" s="23" t="s">
        <v>54</v>
      </c>
      <c r="G2" s="27" t="s">
        <v>57</v>
      </c>
    </row>
    <row r="3" ht="26.25" customHeight="1">
      <c r="A3" s="31" t="s">
        <v>64</v>
      </c>
      <c r="B3" s="33" t="s">
        <v>67</v>
      </c>
      <c r="C3" s="35" t="s">
        <v>70</v>
      </c>
      <c r="D3" s="33" t="s">
        <v>71</v>
      </c>
      <c r="E3" s="39">
        <v>46264.0</v>
      </c>
      <c r="F3" s="40" t="s">
        <v>54</v>
      </c>
      <c r="G3" s="43" t="s">
        <v>76</v>
      </c>
    </row>
    <row r="4" ht="26.25" customHeight="1">
      <c r="A4" s="48" t="s">
        <v>64</v>
      </c>
      <c r="B4" s="50"/>
      <c r="C4" s="51" t="s">
        <v>90</v>
      </c>
      <c r="D4" s="52" t="s">
        <v>71</v>
      </c>
      <c r="E4" s="53">
        <v>46268.0</v>
      </c>
      <c r="F4" s="54" t="s">
        <v>54</v>
      </c>
      <c r="G4" s="55" t="s">
        <v>103</v>
      </c>
    </row>
  </sheetData>
  <dataValidations>
    <dataValidation type="custom" allowBlank="1" showDropDown="1" sqref="E2:E4">
      <formula1>OR(NOT(ISERROR(DATEVALUE(E2))), AND(ISNUMBER(E2), LEFT(CELL("format", E2))="D"))</formula1>
    </dataValidation>
    <dataValidation allowBlank="1" showDropDown="1" sqref="A2:A4"/>
    <dataValidation allowBlank="1" showDropDown="1" sqref="B2:B4 D2:D4"/>
    <dataValidation type="list" allowBlank="1" sqref="F2:F4">
      <formula1>"Ativo,Encerrado,Piloto"</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3" t="s">
        <v>1</v>
      </c>
      <c r="B1" s="3" t="s">
        <v>20</v>
      </c>
      <c r="C1" s="3" t="s">
        <v>120</v>
      </c>
      <c r="D1" s="3" t="s">
        <v>24</v>
      </c>
      <c r="E1" s="5" t="s">
        <v>123</v>
      </c>
      <c r="F1" s="5" t="s">
        <v>124</v>
      </c>
      <c r="G1" s="5" t="s">
        <v>23</v>
      </c>
    </row>
    <row r="2" ht="22.5" customHeight="1">
      <c r="A2" s="9" t="s">
        <v>46</v>
      </c>
      <c r="B2" s="62"/>
      <c r="C2" s="63"/>
      <c r="D2" s="62"/>
      <c r="E2" s="65"/>
      <c r="F2" s="65"/>
      <c r="G2" s="66"/>
    </row>
    <row r="3" ht="22.5" customHeight="1">
      <c r="A3" s="22" t="s">
        <v>105</v>
      </c>
      <c r="B3" s="71"/>
      <c r="C3" s="73"/>
      <c r="D3" s="71"/>
      <c r="E3" s="75"/>
      <c r="F3" s="75"/>
      <c r="G3" s="76"/>
    </row>
    <row r="4" ht="22.5" customHeight="1">
      <c r="A4" s="9" t="s">
        <v>125</v>
      </c>
      <c r="B4" s="62"/>
      <c r="C4" s="63"/>
      <c r="D4" s="62"/>
      <c r="E4" s="65"/>
      <c r="F4" s="65"/>
      <c r="G4" s="66"/>
    </row>
    <row r="5" ht="22.5" customHeight="1">
      <c r="A5" s="22" t="s">
        <v>131</v>
      </c>
      <c r="B5" s="71"/>
      <c r="C5" s="73"/>
      <c r="D5" s="71"/>
      <c r="E5" s="75"/>
      <c r="F5" s="75"/>
      <c r="G5" s="76"/>
    </row>
    <row r="6" ht="22.5" customHeight="1">
      <c r="A6" s="9" t="s">
        <v>135</v>
      </c>
      <c r="B6" s="62"/>
      <c r="C6" s="63"/>
      <c r="D6" s="62"/>
      <c r="E6" s="65"/>
      <c r="F6" s="65"/>
      <c r="G6" s="66"/>
    </row>
    <row r="7" ht="22.5" customHeight="1">
      <c r="A7" s="22" t="s">
        <v>140</v>
      </c>
      <c r="B7" s="71"/>
      <c r="C7" s="73"/>
      <c r="D7" s="71"/>
      <c r="E7" s="75"/>
      <c r="F7" s="75"/>
      <c r="G7" s="76"/>
    </row>
    <row r="8" ht="22.5" customHeight="1">
      <c r="A8" s="9" t="s">
        <v>142</v>
      </c>
      <c r="B8" s="62"/>
      <c r="C8" s="63"/>
      <c r="D8" s="62"/>
      <c r="E8" s="65"/>
      <c r="F8" s="65"/>
      <c r="G8" s="66"/>
    </row>
    <row r="9" ht="22.5" customHeight="1">
      <c r="A9" s="22" t="s">
        <v>148</v>
      </c>
      <c r="B9" s="71"/>
      <c r="C9" s="73"/>
      <c r="D9" s="71"/>
      <c r="E9" s="75"/>
      <c r="F9" s="75"/>
      <c r="G9" s="76"/>
    </row>
    <row r="10" ht="22.5" customHeight="1">
      <c r="A10" s="9" t="s">
        <v>150</v>
      </c>
      <c r="B10" s="62"/>
      <c r="C10" s="63"/>
      <c r="D10" s="62"/>
      <c r="E10" s="65"/>
      <c r="F10" s="65"/>
      <c r="G10" s="66"/>
    </row>
    <row r="11" ht="22.5" customHeight="1">
      <c r="A11" s="22" t="s">
        <v>153</v>
      </c>
      <c r="B11" s="71"/>
      <c r="C11" s="73"/>
      <c r="D11" s="71"/>
      <c r="E11" s="75"/>
      <c r="F11" s="75"/>
      <c r="G11" s="76"/>
    </row>
    <row r="12" ht="22.5" customHeight="1">
      <c r="A12" s="9" t="s">
        <v>155</v>
      </c>
      <c r="B12" s="62"/>
      <c r="C12" s="63"/>
      <c r="D12" s="62"/>
      <c r="E12" s="65"/>
      <c r="F12" s="65"/>
      <c r="G12" s="66"/>
    </row>
    <row r="13" ht="22.5" customHeight="1">
      <c r="A13" s="22" t="s">
        <v>159</v>
      </c>
      <c r="B13" s="71"/>
      <c r="C13" s="73"/>
      <c r="D13" s="71"/>
      <c r="E13" s="75"/>
      <c r="F13" s="75"/>
      <c r="G13" s="76"/>
    </row>
    <row r="14" ht="22.5" customHeight="1">
      <c r="A14" s="9" t="s">
        <v>160</v>
      </c>
      <c r="B14" s="62"/>
      <c r="C14" s="63"/>
      <c r="D14" s="62"/>
      <c r="E14" s="65"/>
      <c r="F14" s="65"/>
      <c r="G14" s="66"/>
    </row>
  </sheetData>
  <dataValidations>
    <dataValidation type="list" allowBlank="1" sqref="B2:B14">
      <formula1>"A,B,C,D,E"</formula1>
    </dataValidation>
    <dataValidation type="list" allowBlank="1" sqref="G2:G14">
      <formula1>"Finalizado,Em revisão"</formula1>
    </dataValidation>
    <dataValidation allowBlank="1" showDropDown="1" sqref="A2:A14"/>
    <dataValidation allowBlank="1" showDropDown="1" sqref="C2:C14"/>
    <dataValidation type="list" allowBlank="1" sqref="D2:D14">
      <formula1>"Regular,Anulada,Divergência com INEP,Pendente"</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3" t="s">
        <v>1</v>
      </c>
      <c r="B1" s="3" t="s">
        <v>20</v>
      </c>
    </row>
    <row r="2" ht="22.5" customHeight="1">
      <c r="A2" s="9" t="s">
        <v>46</v>
      </c>
      <c r="B2" s="88" t="s">
        <v>52</v>
      </c>
    </row>
    <row r="3" ht="22.5" customHeight="1">
      <c r="A3" s="22" t="s">
        <v>105</v>
      </c>
      <c r="B3" s="89" t="s">
        <v>52</v>
      </c>
    </row>
    <row r="4" ht="22.5" customHeight="1">
      <c r="A4" s="9" t="s">
        <v>125</v>
      </c>
      <c r="B4" s="88" t="s">
        <v>132</v>
      </c>
    </row>
    <row r="5" ht="22.5" customHeight="1">
      <c r="A5" s="22" t="s">
        <v>131</v>
      </c>
      <c r="B5" s="89" t="s">
        <v>147</v>
      </c>
    </row>
    <row r="6" ht="22.5" customHeight="1">
      <c r="A6" s="9" t="s">
        <v>135</v>
      </c>
      <c r="B6" s="88" t="s">
        <v>147</v>
      </c>
    </row>
    <row r="7" ht="22.5" customHeight="1">
      <c r="A7" s="22" t="s">
        <v>140</v>
      </c>
      <c r="B7" s="89" t="s">
        <v>149</v>
      </c>
    </row>
    <row r="8" ht="22.5" customHeight="1">
      <c r="A8" s="9" t="s">
        <v>142</v>
      </c>
      <c r="B8" s="88" t="s">
        <v>151</v>
      </c>
    </row>
    <row r="9" ht="22.5" customHeight="1">
      <c r="A9" s="22" t="s">
        <v>148</v>
      </c>
      <c r="B9" s="89" t="s">
        <v>52</v>
      </c>
    </row>
    <row r="10" ht="22.5" customHeight="1">
      <c r="A10" s="9" t="s">
        <v>150</v>
      </c>
      <c r="B10" s="88" t="s">
        <v>132</v>
      </c>
    </row>
    <row r="11" ht="22.5" customHeight="1">
      <c r="A11" s="22" t="s">
        <v>153</v>
      </c>
      <c r="B11" s="89" t="s">
        <v>149</v>
      </c>
    </row>
    <row r="12" ht="22.5" customHeight="1">
      <c r="A12" s="9" t="s">
        <v>155</v>
      </c>
      <c r="B12" s="88" t="s">
        <v>149</v>
      </c>
    </row>
    <row r="13" ht="22.5" customHeight="1">
      <c r="A13" s="22" t="s">
        <v>159</v>
      </c>
      <c r="B13" s="89" t="s">
        <v>149</v>
      </c>
    </row>
    <row r="14" ht="22.5" customHeight="1">
      <c r="A14" s="9" t="s">
        <v>160</v>
      </c>
      <c r="B14" s="88" t="s">
        <v>151</v>
      </c>
    </row>
  </sheetData>
  <dataValidations>
    <dataValidation type="list" allowBlank="1" sqref="B2:B14">
      <formula1>"A,B,C,D,E"</formula1>
    </dataValidation>
    <dataValidation allowBlank="1" showDropDown="1" sqref="A2:A14"/>
  </dataValidations>
  <drawing r:id="rId1"/>
  <tableParts count="1">
    <tablePart r:id="rId3"/>
  </tableParts>
</worksheet>
</file>