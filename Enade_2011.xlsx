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ões" sheetId="1" r:id="rId5"/>
    <sheet state="visible" name="Respostas LLM" sheetId="2" r:id="rId6"/>
    <sheet state="visible" name="Consenso" sheetId="3" r:id="rId7"/>
    <sheet state="visible" name="Prompts" sheetId="4" r:id="rId8"/>
    <sheet state="visible" name="Gabarito_INEP" sheetId="5" r:id="rId9"/>
  </sheets>
  <definedNames/>
  <calcPr/>
</workbook>
</file>

<file path=xl/sharedStrings.xml><?xml version="1.0" encoding="utf-8"?>
<sst xmlns="http://schemas.openxmlformats.org/spreadsheetml/2006/main" count="517" uniqueCount="308">
  <si>
    <t xml:space="preserve">Questão </t>
  </si>
  <si>
    <t>Questão</t>
  </si>
  <si>
    <t>Nome do prompt</t>
  </si>
  <si>
    <t>Tipo</t>
  </si>
  <si>
    <t>Versão</t>
  </si>
  <si>
    <t>Enunciado</t>
  </si>
  <si>
    <t>Possui figura?</t>
  </si>
  <si>
    <t>Finalidade</t>
  </si>
  <si>
    <t>Modelos utilizados</t>
  </si>
  <si>
    <t>Data de início</t>
  </si>
  <si>
    <t>LLM</t>
  </si>
  <si>
    <t>Situação</t>
  </si>
  <si>
    <t>Status</t>
  </si>
  <si>
    <t>Texto completo do prompt</t>
  </si>
  <si>
    <t>Questão 4</t>
  </si>
  <si>
    <t>ChatGPT</t>
  </si>
  <si>
    <t>Modelo</t>
  </si>
  <si>
    <t>Data</t>
  </si>
  <si>
    <t>Alternativa</t>
  </si>
  <si>
    <t>Gemini</t>
  </si>
  <si>
    <t>Confiança</t>
  </si>
  <si>
    <t>Formação Geral</t>
  </si>
  <si>
    <t>Claude</t>
  </si>
  <si>
    <t>Dificuldade</t>
  </si>
  <si>
    <t>Prompt resolvedor</t>
  </si>
  <si>
    <t>Consenso</t>
  </si>
  <si>
    <t>Ambiguidade</t>
  </si>
  <si>
    <t>QUESTÃO 4
Com o advento da República, a discussão sobre a questão educacional torna-se pauta significativa nas esferas dos Poderes Executivo e Legislativo, tanto no âmbito Federal quanto no Estadual. Já na Primeira República, a expansão da demanda social se propaga com o movimento da escola-novista; no período getulista, encontram-se as reformas de Francisco Campos e Gustavo Capanema; no momento de crítica e balanço do pós-1946, ocorre a promulgação da primeira Lei de Diretrizes e Bases da Educação Nacional, em 1961. É somente com a Constituição de 1988, no entanto, que os brasileiros têm assegurada a educação de forma universal, como um direito de todos, tendo em vista o pleno desenvolvimento da pessoa no que se refere a sua preparação para o exercício da cidadania e sua qualificação para o trabalho. O artigo 208 do texto constitucional prevê como dever do Estado a oferta da educação tanto a crianças como àqueles que não tiveram acesso ao ensino em idade própria à escolarização cabida.
Nesse contexto, avalie as seguintes asserções e a relação proposta entre elas.
A relação entre educação e cidadania se estabelece na busca da universalização da educação como uma das condições necessárias para a consolidação da democracia no Brasil.
PORQUE
Por meio da atuação de seus representantes nos Poderes Executivos e Legislativo, no decorrer do século XX, passou a ser garantido no Brasil o direito de acesso à educação, inclusive aos jovens e adultos que já estavam fora da idade escolar.
A respeito dessas asserções, assinale a opção correta.
A) As duas são proposições verdadeiras, e a segunda é uma justificativa correta da primeira.
B) As duas são proposições verdadeiras, mas a segunda não é uma justificativa correta da primeira.
C) A primeira é uma proposição verdadeira, e a segunda, falsa.
D) A primeira é uma proposição falsa, e a segunda, verdadeira.
E) Tanto a primeira quanto a segunda asserções são proposições falsas.</t>
  </si>
  <si>
    <t>Força dos distratores</t>
  </si>
  <si>
    <t>Resposta Majoritária</t>
  </si>
  <si>
    <t>Tema</t>
  </si>
  <si>
    <t>Gabarito INEP</t>
  </si>
  <si>
    <t>V1.2</t>
  </si>
  <si>
    <t>Subtema</t>
  </si>
  <si>
    <t>Não</t>
  </si>
  <si>
    <t>Justificativa da resposta</t>
  </si>
  <si>
    <t>Acertos</t>
  </si>
  <si>
    <t>Em resolução pelas LLMs</t>
  </si>
  <si>
    <t>Resolução definitiva</t>
  </si>
  <si>
    <t>Análise das alternativas</t>
  </si>
  <si>
    <t>Confiança média</t>
  </si>
  <si>
    <t>Justificativa da ambiguidade</t>
  </si>
  <si>
    <t>Dificuldade média</t>
  </si>
  <si>
    <t>ChatGPT; Gemini; Claude</t>
  </si>
  <si>
    <t>Justificativa dos distratores</t>
  </si>
  <si>
    <t>Ambiguidade média</t>
  </si>
  <si>
    <t>Ambiguidade máxima</t>
  </si>
  <si>
    <t>4</t>
  </si>
  <si>
    <t>Força dos distratores média</t>
  </si>
  <si>
    <t>Concorda com INEP?</t>
  </si>
  <si>
    <t>Classificação do resultado</t>
  </si>
  <si>
    <t>Ativo</t>
  </si>
  <si>
    <t>Você atuará como especialista na resolução de questões objetivas de nível superior.
Resolva a questão apresentada de maneira independente.
IMPORTANTE:
- Não utilize pesquisa na internet, ferramentas de busca, fontes externas, gabaritos ou respostas previamente publicadas.
- Não tente identificar ou inferir a origem da questão ou seu gabarito oficial.
- Baseie sua resposta exclusivamente no enunciado, nas alternativas e no conhecimento necessário para resolver a questão.
- Se houver inconsistência, insuficiência de informação ou possível ambiguidade, sinalize-a.
- Não altere os critérios de avaliação definidos abaixo.
- Considere esta sua única tentativa de resolução: não revise sua alternativa escolhida posteriormente.
- Não utilize respostas anteriores ou respostas produzidas por outros modelos.
- Diferencie explicitamente ambiguidade da questão e força dos distratores. Uma questão pode não ser ambígua e, ainda assim, apresentar distratores fortes.
Apresente obrigatoriamente sua resposta no seguinte formato:
ALTERNATIVA ESCOLHIDA:
[A, B, C, D ou E]
CONFIANÇA AUTODECLARADA:
[valor inteiro de 0 a 100]
A confiança representa apenas seu grau de segurança na resposta apresentada, não uma probabilidade estatística de acerto.
DIFICULDADE:
[valor inteiro de 1 a 5]
Utilize obrigatoriamente esta escala:
1 = Muito fácil:
Exige reconhecimento direto de conceito ou identificação de informação explícita no enunciado.
2 = Fácil:
Exige aplicação simples de um conceito ou pequeno número de etapas de raciocínio.
3 = Média:
Exige interpretação, articulação de dois ou mais conceitos ou algumas etapas de raciocínio.
4 = Difícil:
Exige integração conceitual, análise cuidadosa das alternativas ou várias etapas de raciocínio.
5 = Muito difícil:
Exige conhecimento aprofundado, raciocínio complexo, integração de múltiplos conceitos ou análise técnica particularmente exigente.
AMBIGUIDADE:
[valor inteiro de 0 a 2]
Avalie exclusivamente a clareza e a suficiência do enunciado e das alternativas para determinar uma resposta correta.
Utilize obrigatoriamente esta escala:
0 = Sem ambiguidade:
O enunciado fornece informações suficientes e existe uma alternativa claramente superior às demais.
1 = Ambiguidade menor:
Há algum termo, construção textual ou aspecto interpretativo que pode gerar dúvida, mas ainda é possível identificar uma alternativa claramente mais adequada.
2 = Ambiguidade relevante:
Há insuficiência de informação, formulação problemática ou duas ou mais interpretações plausíveis que podem conduzir a respostas diferentes.
FORÇA DOS DISTRATORES:
[valor inteiro de 0 a 2]
Considere como distratores as alternativas incorretas elaboradas de maneira plausível para competir com a alternativa correta.
Utilize obrigatoriamente esta escala:
0 = Distratores fracos:
As alternativas incorretas podem ser descartadas facilmente por quem domina os conceitos básicos necessários.
1 = Distratores moderados:
Há pelo menos uma alternativa incorreta plausível, mas a resposta correta permanece claramente superior após análise conceitual.
2 = Distratores fortes:
Uma ou mais alternativas incorretas são conceitualmente próximas da resposta correta, parcialmente verdadeiras, utilizam conceitos corretos em contexto inadequado ou exigem análise cuidadosa para serem descartadas.
TEMA PRINCIPAL:
[tema]
SUBTEMA:
[subtema]
JUSTIFICATIVA DA RESPOSTA:
Explique de maneira técnica, objetiva e suficientemente detalhada por que a alternativa escolhida é correta.
ANÁLISE DAS ALTERNATIVAS:
A:
Explique por que está correta ou incorreta.
B:
Explique por que está correta ou incorreta.
C:
Explique por que está correta ou incorreta.
D:
Explique por que está correta ou incorreta.
E:
Explique por que está correta ou incorreta.
JUSTIFICATIVA DA AMBIGUIDADE:
Explique brevemente por que atribuiu o nível 0, 1 ou 2. Caso exista ambiguidade, identifique especificamente o trecho, conceito ou aspecto responsável por ela.
JUSTIFICATIVA DOS DISTRATORES:
Explique brevemente por que atribuiu o nível 0, 1 ou 2. Identifique, quando houver, quais alternativas funcionam como os principais distratores e por que podem parecer plausíveis.
Apresente somente os campos solicitados, sem comentários adicionais.
QUESTÃO A SER ANALISADA:
[COLE A QUESTÃO COMPLETA AQUI]</t>
  </si>
  <si>
    <t>Questão 7</t>
  </si>
  <si>
    <t>GPT-5.6 Luna</t>
  </si>
  <si>
    <t>QUESTÃO 7
A definição de desenvolvimento sustentável mais usualmente utilizada é a que procura atender às necessidades atuais sem comprometer a capacidade das gerações futuras. O mundo assiste a um questionamento crescente de paradigmas estabelecidos na economia e também na cultura política. A crise ambiental no planeta, quando traduzida na mudança climática, é uma ameaça real ao pleno desenvolvimento das potencialidades dos países.
O Brasil está em uma posição privilegiada para enfrentar os enormes desafios que se acumulam. Abriga elementos fundamentais para o desenvolvimento: parte significativa da biodiversidade e da água doce existentes no planeta; grande extensão de terras cultiváveis; diversidade étnica e cultural e rica variedade de reservas naturais.
O campo do desenvolvimento sustentável pode ser conceitualmente dividido em três componentes: sustentabilidade ambiental, sustentabilidade econômica e sustentabilidade sociopolítica.
Nesse contexto, o desenvolvimento sustentável pressupõe
A) a preservação do equilíbrio global e do valor das reservas de capital natural, o que não justifica a desaceleração do desenvolvimento econômico e político de uma sociedade.
B) a redefinição de critérios e instrumentos de avaliação de custo-benefício que reflitam os efeitos socioeconômicos e os valores reais do consumo e da preservação.
C) o reconhecimento de que, apesar de os recursos naturais serem ilimitados, deve ser traçado um novo modelo de desenvolvimento econômico para a humanidade.
D) a redução do consumo das reservas naturais com a consequente estagnação do desenvolvimento econômico e tecnológico.
E) a distribuição homogênea das reservas naturais entre as nações e as regiões em nível global e regional.</t>
  </si>
  <si>
    <t>Prompt Judge</t>
  </si>
  <si>
    <t>A</t>
  </si>
  <si>
    <t>V1.1</t>
  </si>
  <si>
    <t>Avaliação e seleção da resposta-base</t>
  </si>
  <si>
    <t>Mistral Medium</t>
  </si>
  <si>
    <t>Educação e cidadania</t>
  </si>
  <si>
    <t>Universalização da educação e direito à educação na Constituição de 1988</t>
  </si>
  <si>
    <t>Questão 8</t>
  </si>
  <si>
    <t>JUSTIFICATIVA DA RESPOSTA:
A primeira asserção é verdadeira, pois a universalização do acesso à educação está diretamente relacionada à formação para o exercício da cidadania e à consolidação da democracia. O próprio enunciado destaca que a Constituição de 1988 estabelece a educação como direito de todos, visando ao pleno desenvolvimento da pessoa e à preparação para o exercício da cidadania.
A segunda asserção também é verdadeira. O texto apresenta uma evolução histórica das políticas educacionais brasileiras e destaca que, especialmente com a Constituição de 1988, o Estado passou a assegurar o direito à educação também àqueles que não tiveram acesso à escolarização na idade considerada própria.
Além disso, a segunda proposição justifica a primeira: a atuação estatal na ampliação e garantia do acesso à educação, inclusive para jovens e adultos que estavam fora da idade escolar, contribui para a universalização da educação. Essa universalização é apresentada como uma condição necessária para o exercício da cidadania e, consequentemente, para a consolidação democrática.</t>
  </si>
  <si>
    <t>ANÁLISE DAS ALTERNATIVAS:
A:
Correta. As duas asserções são verdadeiras, e a segunda explica como a ampliação e garantia do direito à educação contribui para a universalização educacional mencionada na primeira.
B:
Incorreta. Embora as duas proposições sejam verdadeiras, existe relação justificativa entre elas. A garantia do acesso à educação, inclusive para jovens e adultos fora da idade escolar, está diretamente relacionada à busca pela universalização da educação e à formação cidadã.
C:
Incorreta. A segunda asserção não é falsa. O próprio enunciado afirma que o artigo 208 da Constituição prevê como dever do Estado a oferta da educação àqueles que não tiveram acesso em idade própria.
D:
Incorreta. A primeira asserção é verdadeira, pois o acesso universal à educação é apresentado como uma das condições necessárias à consolidação da democracia e ao exercício da cidadania.
E:
Incorreta. Ambas as asserções são verdadeiras dentro do contexto apresentado.</t>
  </si>
  <si>
    <t>QUESTÃO 8
Em reportagem, Owen Jones, autor do livro Chavs: a difamação da classe trabalhadora, publicado no Reino Unido, comenta as recentes manifestações de rua em Londres e em outras principais cidades inglesas.
Jones prefere chamar atenção para as camadas sociais mais desfavorecidas do país, que desde o início dos distúrbios ficaram conhecidas no mundo todo pelo apelido chavs, usado pelos britânicos para escarnecer dos hábitos de consumo da classe trabalhadora. Jones denuncia um sistemático abandono governamental dessa parcela da população: “Os políticos insistem em culpar os indivíduos pela desigualdade”, diz. (...) “você não vai ver alguém assumir ser um chav, pois se trata de um insulto criado como forma de generalizar o comportamento das classes mais baixas. Meu medo não é o preconceito e, sim, a cortina de fumaça que ele oferece. Os distúrbios estão servindo como o argumento ideal para que se faça valer a ideologia de que os problemas sociais são resultados de defeitos individuais, não de falhas maiores. Trata-se de uma filosofia que tomou conta da sociedade britânica com a chegada de Margaret Thatcher ao poder, em 1979, e que basicamente funciona assim: você é culpado pela falta de oportunidades. (...) Os políticos insistem em culpar os indivíduos pela desigualdade”.
Suplemento Prosa &amp; Verso, O Globo, Rio de Janeiro, 20 ago. 2011, p. 6 (adaptado).
Considerando as ideias do texto, avalie as afirmações a seguir.
I. Chavs é um apelido que exalta hábitos de consumo de parcela da população britânica.
II. Os distúrbios ocorridos na Inglaterra serviram para atribuir deslizes de comportamento individual como causas de problemas sociais.
III. Indivíduos da classe trabalhadora britânica são responsabilizados pela falta de oportunidades decorrente da ausência de políticas públicas.
IV. As manifestações de rua na Inglaterra reivindicavam formas de inclusão nos padrões de consumo vigente.
É correto apenas o que se afirma em
A) I e II.
B) I e IV.
C) II e III.
D) I, III e IV.
E) II, III e IV.</t>
  </si>
  <si>
    <t>JUSTIFICATIVA DA AMBIGUIDADE:
0 — Sem ambiguidade. O enunciado fornece elementos suficientes para estabelecer que a educação é um direito universal e que sua ampliação está relacionada ao exercício da cidadania e à consolidação democrática. A relação de justificativa entre as proposições também é coerente com o texto.</t>
  </si>
  <si>
    <t>JUSTIFICATIVA DOS DISTRATORES:
1 — Os distratores são moderados. A alternativa B pode parecer plausível porque exige uma análise específica da relação entre as duas proposições: não basta reconhecer que ambas são verdadeiras, é necessário verificar se a segunda explica a primeira. As demais podem ser descartadas mais facilmente pela leitura do próprio enunciado.</t>
  </si>
  <si>
    <t>Você atuará como avaliador independente da qualidade de três soluções produzidas para uma questão objetiva de nível superior.
Você receberá:
1. o enunciado integral da questão;
2. o gabarito oficial;
3. três respostas anonimizadas, denominadas Resposta A, Resposta B e Resposta C.
Sua função é avaliar a qualidade técnica, lógica e pedagógica das três soluções e identificar qual delas apresenta a melhor fundamentação para servir de base à elaboração de um gabarito comentado.
IMPORTANTE:
- Não utilize pesquisa na internet, ferramentas de busca ou fontes externas.
- Baseie sua avaliação exclusivamente no enunciado, no gabarito oficial fornecido e nas três respostas apresentadas.
- Não tente identificar qual modelo produziu cada resposta.
- Não utilize informações sobre confiança, dificuldade ou ambiguidade dos modelos, mesmo que tente inferi-las.
- Avalie cada resposta de maneira independente.
- Não escolha automaticamente uma resposta apenas porque ela coincide com o gabarito oficial; avalie também a qualidade da fundamentação apresentada.
- Entretanto, para ser considerada elegível como resposta-base do gabarito comentado, a alternativa escolhida pela resposta deve coincidir com o gabarito oficial.
- Caso uma resposta apresente alternativa incorreta, ainda assim avalie normalmente sua qualidade nos critérios estabelecidos, mas classifique-a como NÃO ELEGÍVEL para servir de resposta-base.
- Considere o gabarito oficial como referência institucional.
- Caso identifique possível inconsistência relevante entre o enunciado e o gabarito oficial, sinalize-a e recomende revisão humana, sem substituir unilateralmente o gabarito.
- É permitido declarar empate técnico entre duas ou mais respostas quando não houver diferença relevante de qualidade.
- Não force a escolha de uma única resposta quando houver empate técnico justificável.
Avalie separadamente as Respostas A, B e C segundo os seguintes critérios, atribuindo de 0 a 5 pontos em cada um:
1. CORREÇÃO CONCEITUAL
0 = conteúdo conceitualmente incorreto.
5 = conteúdo conceitualmente correto, preciso e sem erros relevantes.
2. COERÊNCIA LÓGICA
0 = raciocínio contraditório, inconsistente ou sem conexão lógica.
5 = raciocínio plenamente consistente e logicamente estruturado.
3. FUNDAMENTAÇÃO
0 = ausência de fundamentação ou justificativa inadequada.
5 = fundamentação completa, tecnicamente adequada e suficiente para sustentar a resposta.
4. ANÁLISE DOS DISTRATORES
0 = alternativas incorretas não são analisadas ou são analisadas incorretamente.
5 = alternativas são analisadas adequadamente, identificando corretamente por que a alternativa correta é superior aos distratores.
5. CLAREZA PEDAGÓGICA
0 = explicação confusa ou inadequada para fins educacionais.
5 = explicação clara, didática, objetiva e útil para estudantes.
6. ADERÊNCIA AO ENUNCIADO
0 = ignora, interpreta incorretamente ou distorce elementos relevantes do enunciado.
5 = utiliza corretamente e de forma precisa as informações fornecidas pela questão.
Para cada resposta utilize obrigatoriamente o seguinte formato:
RESPOSTA A
- Alternativa escolhida:
- Correção conceitual: X/5
- Coerência lógica: X/5
- Fundamentação: X/5
- Análise dos distratores: X/5
- Clareza pedagógica: X/5
- Aderência ao enunciado: X/5
- Total: X/30
- Elegível como resposta-base: [Sim ou Não]
- Principal qualidade:
- Principal problema:
Repita exatamente a mesma estrutura para RESPOSTA B e RESPOSTA C.
Após avaliar as três respostas, apresente:
RESPOSTAS ELEGÍVEIS PARA O GABARITO COMENTADO:
[indique A, B, C, combinações entre elas ou Nenhuma]
MELHOR RESPOSTA PARA SERVIR DE BASE AO GABARITO COMENTADO:
[A, B, C ou EMPATE entre as respostas]
JUSTIFICATIVA DA ESCOLHA:
Explique objetivamente por que essa resposta apresenta melhor qualidade técnica e pedagógica entre as respostas elegíveis.
EMPATE TÉCNICO:
[Sim ou Não]
Se Sim:
Indique quais respostas estão empatadas e explique por que não existe diferença relevante suficiente para selecionar uma delas isoladamente.
DIVERGÊNCIAS RELEVANTES:
Identifique erros conceituais, interpretações divergentes, fragilidades de fundamentação ou problemas relevantes encontrados nas três respostas.
RESPOSTA-BASE RECOMENDADA:
[A, B, C, SÍNTESE DE A+B, SÍNTESE DE A+C, SÍNTESE DE B+C, SÍNTESE DE A+B+C ou NENHUMA]
A resposta-base recomendada deve considerar apenas respostas elegíveis.
REVISÃO HUMANA RECOMENDADA:
[Sim ou Não]
JUSTIFICATIVA DA REVISÃO HUMANA:
Informe objetivamente o motivo.
Caso todas as respostas sejam inadequadas, exista possível problema no gabarito oficial ou não seja possível selecionar uma base confiável, obrigatoriamente recomende revisão humana.
QUESTÃO:
[COLE A QUESTÃO COMPLETA]
GABARITO OFICIAL:
[COLE O GABARITO]
RESPOSTA A:
[COLE A RESPOSTA ANONIMIZADA]
RESPOSTA B:
[COLE A RESPOSTA ANONIMIZADA]
RESPOSTA C:
[COLE A RESPOSTA ANONIMIZADA]</t>
  </si>
  <si>
    <t>Questão 9</t>
  </si>
  <si>
    <t>Componente Específico Comum</t>
  </si>
  <si>
    <t>QUESTÃO 9
Seja A um conjunto e seja ~ uma relação entre pares de elementos de A.
Diz-se que ~ é uma relação de equivalência entre pares de elementos de A se as seguintes propriedades são verificadas, para quaisquer elementos a, a’ e a’’ de A:
(i) a ~ a;
(ii) se a ~ a’, então a’ ~ a;
(iii) se a ~ a’ e a’ ~ a’’, então a ~ a’’.
Uma classe de equivalência do elemento a de A com respeito à relação ~ é o conjunto apresentado na figura original da questão.
O conjunto quociente de A pela relação de equivalência ~ é o conjunto de todas as classes de equivalência relativamente à relação ~, definido e denotado conforme apresentado na figura original.
A função denominada projeção canônica é definida conforme a notação apresentada na figura original.
Considerando as definições acima, analise as afirmações a seguir.
I. A relação de equivalência ~ no conjunto A particiona o conjunto A em subconjuntos disjuntos: as classes de equivalência.
II. A união das classes de equivalência da relação de equivalência ~ no conjunto A resulta no conjunto das partes de A.
III. As três relações apresentadas na figura original da questão são relações de equivalência no conjunto dos números inteiros Z.
IV. Qualquer relação de equivalência no conjunto A é proveniente de sua projeção canônica.
É correto apenas o que se afirma em
A) II.
B) III.
C) I e III.
D) I e IV.
E) II e IV.
OBSERVAÇÃO PARA A RESOLUÇÃO:
Considere a imagem original anexada como parte integrante do enunciado, especialmente para interpretar a notação matemática e as relações apresentadas na afirmação III.</t>
  </si>
  <si>
    <t>Sim</t>
  </si>
  <si>
    <t>Gemini 3.6 Flash</t>
  </si>
  <si>
    <t>Revisão das respostas finais</t>
  </si>
  <si>
    <t>Questão 11</t>
  </si>
  <si>
    <t>B</t>
  </si>
  <si>
    <t>QUESTÃO 11
O problema da parada para máquinas de Turing, ou simplesmente problema da parada, pode ser assim descrito: determinar, para quaisquer máquina de Turing M e palavra w, se M irá eventualmente parar com entrada w.
Mais informalmente, o mesmo problema também pode ser assim descrito: dados um algoritmo e uma entrada finita, decidir se o algoritmo termina ou se executará indefinidamente.
Para o problema da parada,
A) existe algoritmo exato de tempo de execução polinomial para solucioná-lo.
B) existe algoritmo exato de tempo de execução exponencial para solucioná-lo.
C) não existe algoritmo que o solucione, não importa quanto tempo seja disponibilizado.
D) não existe algoritmo exato, mas existe algoritmo de aproximação de tempo de execução polinomial que o soluciona, fornecendo respostas aproximadas.
E) não existe algoritmo exato, mas existe algoritmo de aproximação de tempo de execução exponencial que o soluciona, fornecendo respostas aproximadas.</t>
  </si>
  <si>
    <t>História e Políticas da Educação no Brasil</t>
  </si>
  <si>
    <t>Direito à Educação, Cidadania e Garantias Constitucionais</t>
  </si>
  <si>
    <t>Questão 15</t>
  </si>
  <si>
    <t>JUSTIFICATIVA DA RESPOSTA:
A asserção I é verdadeira, pois reflete o fundamento filosófico e sociopolítico de que a universalização da educação é indispensável para o pleno exercício da cidadania e para o fortalecimento da democracia, princípio ratificado pelo texto constitucional brasileiro. A asserção II também é verdadeira, uma vez que descreve com precisão o percurso histórico e normativo ao longo do século XX em que, mediante a ação das esferas executiva e legislativa, o acesso à educação foi gradativamente positivado como direito, culminando na garantia constitucional de atendimento inclusive àqueles que não concluíram os estudos na idade própria (Educação de Jovens e Adultos - EJA). No entanto, a asserção II não é a justificativa da asserção I: a trajetória legislativa e institucional constitui o meio histórico de efetivação do direito, mas não o fundamento conceitual pelo qual a educação é condição necessária para a cidadania e a democracia.</t>
  </si>
  <si>
    <t>ANÁLISE DAS ALTERNATIVAS:
A:
Incorreta. Embora ambas as proposições sejam verdadeiras, a segunda asserção narra o processo histórico-legislativo de garantia do direito à educação, o que não funciona como justificativa teórica ou causal para o nexo conceitual entre educação, cidadania e consolidação democrática estabelecido na primeira asserção.
B:
Correta. Ambas as asserções são proposições verdadeiras, porém a asserção II trata da materialização histórica do direito à educação via representação política no século XX, enquanto a asserção I trata do valor político e reflexivo da educação na consolidação da democracia, não existindo relação de subordinação causal ou de justificativa direta entre elas.
C:
Incorreta. A asserção II não é falsa, pois expressa corretamente a construção histórica e legal do direito de acesso à escolarização para crianças, jovens e adultos promovida pelos Poderes Executivo e Legislativo ao longo do século XX até a CF/1988.
D:
Incorreta. A asserção I não é falsa, visto que expressa de forma correta e consagrada a vinculação entre a universalização do ensino, o exercício da cidadania e o fortalecimento do regime democrático no Brasil.
E:
Incorreta. Ambas as asserções são proposições verdadeiras sob a perspectiva histórica, pedagógica e do direito constitucional educacional brasileiro.</t>
  </si>
  <si>
    <t>JUSTIFICATIVA DA AMBIGUIDADE:
Atribuiu-se nível 0 (Sem ambiguidade), pois a questão e as asserções foram formuladas com clareza conceitual e textual, permitindo identificar com precisão o valor de verdade de cada proposição e determinar que não há nexo de causalidade/justificativa entre elas.</t>
  </si>
  <si>
    <t>QUESTÃO 15
Suponha que seja necessário desenvolver uma ferramenta que apresente o endereço IP dos múltiplos roteadores, salto a salto, que compõem o caminho do hospedeiro em que a ferramenta é executada até um determinado destino (segundo seu endereço IP), assim como o round-trip time até cada roteador.
Tal ferramenta precisa funcionar na Internet atual, sem demandar mudanças em roteadores nem a introdução de novos protocolos.
Considerando o problema acima, qual dos seguintes protocolos representaria a melhor (mais simples e eficiente) solução?
A) IP: Internet Protocol.
B) UDP: User Datagram Protocol.
C) TCP: Transmission Control Protocol.
D) ICMP: Internet Control Message Protocol.
E) DHCP: Dynamic Host Configuration Protocol.</t>
  </si>
  <si>
    <t>JUSTIFICATIVA DOS DISTRATORES:
Atribuiu-se nível 2 (Distratores fortes), sobretudo devido à alternativa A, que funciona como um distrator de alta atratividade. Como ambas as asserções abordam o mesmo contexto temático e são verdadeiras, o leitor desatento pode facilmente associar a existência do processo legislativo como justificativa direta para a relação entre educação e cidadania.</t>
  </si>
  <si>
    <t>"""
    Monta o prompt enviado ao Mistral.
    `dados` é um dicionário com os campos já resolvidos pelo main.py
    (nenhum dado objetivo deve ser inferido ou inventado pelo modelo):
      - numero               (int)
      - enunciado            (str)
      - gabarito_inep        (str ou None)
      - situacao_oficial     (str ou None)
      - resposta_avaliada    (str ou None)  -- vem da coluna
                                                "Gabarito comentado final"
      - modelo_base          (str ou None)
    Não existe, separadamente, um "gabarito comentado oficial" para
    comparação: a única referência autorizada para a alternativa
    correta é `gabarito_inep`.
    Quando a Situação oficial for "Anulada", a explicacao_final deve ser
    exatamente "QUESTÃO ANULADA" — o bloco de regra correspondente só é
    injetado no prompt nesse caso.
    """
    numero_questao = dados["numero"]
    enunciado = dados["enunciado"]
    gabarito_inep = dados.get("gabarito_inep")
    if gabarito_inep is None or str(gabarito_inep).strip() == "":
        texto_gabarito_inep = (
            "[NÃO INFORMADO — não existe Gabarito INEP cadastrado "
            "para esta questão]"
        )
    else:
        texto_gabarito_inep = str(gabarito_inep).strip()
    situacao_oficial = dados.get("situacao_oficial")
    if situacao_oficial is None or str(situacao_oficial).strip() == "":
        texto_situacao = "[NÃO INFORMADA]"
    else:
        texto_situacao = str(situacao_oficial).strip()
    # Decisão determinística feita em Python: o modelo não precisa
    # descobrir nem inferir se a questão está anulada.
    anulada = texto_situacao.strip().lower() == "anulada"
    resposta_avaliada = dados.get("resposta_avaliada")
    if resposta_avaliada is None or str(resposta_avaliada).strip() == "":
        texto_resposta_avaliada = (
            "[NENHUMA RESPOSTA FOI FORNECIDA PARA ESTA QUESTÃO — "
            "NÃO EXISTE RESPOSTA PARA AVALIAR]"
        )
    else:
        texto_resposta_avaliada = str(resposta_avaliada).strip()
    modelo_base = dados.get("modelo_base")
    if modelo_base is None or str(modelo_base).strip() == "":
        texto_modelo_base = "Não informado"
    else:
        texto_modelo_base = str(modelo_base).strip()
    if anulada:
        bloco_anulada = """
==================================================
REGRA CRÍTICA: QUESTÃO ANULADA (PRECEDÊNCIA MÁXIMA)
==================================================
A Situação oficial desta questão é "Anulada".
Esta regra tem precedência sobre TODAS as demais regras relativas ao
campo explicacao_final, inclusive sobre a regra que manda manter a
resposta avaliada quando todos os critérios forem "SIM" e sobre a
regra que manda produzir uma nova resolução quando algum critério for
"NAO".
O campo explicacao_final DEVE ser exatamente esta string, e nada além
dela:
QUESTÃO ANULADA
Nesse caso você NÃO deve:
- apontar qualquer alternativa como correta;
- escrever o cabeçalho "QUESTÃO [número] — Alternativa [...]";
- fazer comentário geral ou análise das alternativas A) a E);
- reproduzir, resumir ou corrigir a resposta avaliada;
- justificar o motivo da anulação;
- acrescentar qualquer texto antes ou depois de "QUESTÃO ANULADA".
Ignore integralmente a seção "REGRA PARA EXPLICACAO_FINAL" e a
estrutura de resolução descrita nela.
Os demais campos do array (se_acertou, explicacao_ta_boa,
sem_rastro_llm, acordo_com_inep e anulada_tem_explicacao) continuam
sendo avaliados normalmente, segundo os critérios descritos acima.
"""
    else:
        bloco_anulada = ""
    prompt = f"""
Você atuará como professor e avaliador especialista na correção de
questões objetivas de nível superior do ENADE 2021.
Sua tarefa é avaliar a RESPOSTA AVALIADA (fornecida abaixo, nos DADOS DA
QUESTÃO) para a questão indicada, comparando-a com o Gabarito INEP,
também fornecido abaixo — a única referência oficial disponível para a
alternativa correta.
Todos os dados objetivos desta tarefa (enunciado, resposta avaliada,
gabarito INEP, situação oficial da questão) são fornecidos
explicitamente abaixo, na seção DADOS DA QUESTÃO. Você NUNCA
deve inventar, presumir ou completar qualquer um desses dados. Se um
dado não foi fornecido, ele está marcado como tal explicitamente — trate
isso como um fato, não como algo a ser deduzido.
Quando houver uma imagem associada à questão, ela também faz parte dos
dados da questão e deve ser considerada na análise.
Não faça pesquisas na internet nem utilize fontes externas para avaliar
os critérios abaixo. Isso NÃO impede o uso do Gabarito INEP fornecido
nos DADOS DA QUESTÃO — ele é um dado oficial fornecido diretamente para
esta tarefa, e não pesquisa externa. Use-o normalmente para os
critérios que o exigem.
==================================================
REGRA CRÍTICA: RESPOSTA AVALIADA AUSENTE
==================================================
Se o campo "Resposta avaliada" abaixo indicar que NENHUMA resposta foi
fornecida, você DEVE:
- se_acertou = "NAO"
- explicacao_ta_boa = "NAO"
- sem_rastro_llm = "NAO"
- acordo_com_inep = "NAO"
Nunca retorne "SIM" para nenhum desses quatro campos quando não houver
resposta avaliada. Não existe cenário em que a ausência de resposta
resulte em "tudo correto". Mesmo nesse caso, gere normalmente a
explicacao_final como a resolução técnica da questão (ver regra
específica mais abaixo), sem mencionar a ausência de resposta dentro do
texto da explicacao_final.
==================================================
REGRA CRÍTICA: GABARITO INEP AUSENTE
==================================================
Se o campo "Gabarito INEP" abaixo indicar que ele não foi informado,
você DEVE:
- acordo_com_inep = "NAO"
- se_acertou = "NAO"
Nunca invente ou deduza qual seria o gabarito oficial nesse caso.
==================================================
REGRA CRÍTICA: SITUAÇÃO OFICIAL DA QUESTÃO
==================================================
O campo "Situação oficial" abaixo já informa, de forma definitiva, se a
questão está anulada ou regular. Você NÃO deve tentar descobrir ou
inferir isso por conta própria a partir do enunciado ou do gabarito
comentado — use exclusivamente o valor fornecido nesse campo.
- Se a Situação oficial NÃO for "Anulada", retorne exatamente null no
  campo anulada_tem_explicacao (o critério não se aplica).
- Se a Situação oficial FOR "Anulada", avalie se a resposta avaliada
  identifica isso e explica o motivo adequadamente, retornando "SIM" ou
  "NAO".
{bloco_anulada}
==================================================
CRITÉRIOS DE AVALIAÇÃO
==================================================
1. SE_ACERTOU
Verifique se a alternativa escolhida na resposta avaliada corresponde
ao Gabarito INEP.
Retorne:
- "SIM" se corresponde ao gabarito.
- "NAO" caso contrário (inclusive se não houver resposta avaliada ou
  não houver Gabarito INEP, conforme regras críticas acima).
2. EXPLICACAO_TA_BOA
Avalie se a explicação contida na resposta avaliada está tecnicamente
correta, clara, objetiva e suficientemente detalhada.
Considere se ela:
- justifica adequadamente a alternativa escolhida;
- apresenta os conceitos necessários;
- não contém erros conceituais;
- possui explicação suficiente para compreender por que a alternativa
  está correta.
Quando for relevante, também pode explicar por que as demais
alternativas estão incorretas.
Retorne:
- "SIM" se a explicação for adequada.
- "NAO" se estiver incorreta, incompleta, superficial, confusa,
  insuficiente ou ausente.
3. SEM_RASTRO_LLM
Avalie se a resposta avaliada apresenta uma redação natural e
compatível com uma resposta humana, sem características evidentes de
texto gerado por LLM.
Retorne:
- "SIM" se parecer natural e humana.
- "NAO" se apresentar sinais evidentes de texto artificial, robótico,
  genérico, excessivamente padronizado, ou se não houver resposta para
  avaliar.
4. ACORDO_COM_INEP
Verifique se a resposta avaliada está de acordo com o Gabarito INEP
fornecido (a única referência oficial disponível para a alternativa
correta) e se não apresenta erro conceitual relevante.
Retorne:
- "SIM" se estiver de acordo e não apresentar erro conceitual relevante.
- "NAO" se houver contradição, erro conceitual relevante, conclusão
  incompatível com o Gabarito INEP, ausência de resposta ou ausência
  de Gabarito INEP.
5. ANULADA_TEM_EXPLICACAO
Aplique exatamente a REGRA CRÍTICA: SITUAÇÃO OFICIAL DA QUESTÃO descrita
acima.
null significa que o critério não se aplica. Não considere null como
"NAO".
==================================================
REGRA PARA EXPLICACAO_FINAL
==================================================
Esta seção só se aplica quando a questão NÃO estiver anulada. Se houver
acima uma REGRA CRÍTICA: QUESTÃO ANULADA, ela tem precedência e esta
seção deve ser ignorada por completo.
Se TODOS os critérios aplicáveis (se_acertou, explicacao_ta_boa,
sem_rastro_llm, acordo_com_inep e, quando aplicável,
anulada_tem_explicacao) forem "SIM", mantenha a resposta avaliada
EXATAMENTE como foi apresentada em explicacao_final. Não corrija, resuma
ou altere a resposta nesse caso.
Se QUALQUER critério aplicável for "NAO", substitua completamente a
explicação fornecida por uma nova resolução, seguindo a estrutura
abaixo.
A explicação final deve ser uma resolução objetiva e técnica da questão,
como se fosse produzida por um professor especialista, escrita de forma
independente — não copie literalmente o texto da resposta avaliada,
mesmo que use a mesma alternativa correta como referência.
IMPORTANTE:
- Baseie sua resposta exclusivamente no enunciado, nas alternativas, no
  Gabarito INEP fornecido (para saber qual é a alternativa correta) e
  no conhecimento necessário para resolver a questão.
- Não tente identificar ou inferir a origem da questão.
- Se houver inconsistência, insuficiência de informação ou possível
  ambiguidade no enunciado, sinalize-a.
- Nunca invente uma alternativa correta que não esteja de acordo com o
  Gabarito INEP fornecido. Se o Gabarito INEP não foi informado, deixe
  claro na resolução que não há gabarito oficial disponível para esta
  questão, em vez de apontar uma alternativa como correta.
A resolução deve ser escrita como um comentário de professor
especialista, explicando o raciocínio necessário para chegar à resposta
correta.
Apresente a resolução seguindo esta estrutura:
QUESTÃO [número] — Alternativa [alternativa correta]
Comentário geral
Apresente uma explicação geral sobre o que a questão aborda e os
principais conceitos necessários para resolvê-la.
Em seguida, analise as afirmações ou elementos apresentados no
enunciado, quando houver, explicando quais estão corretos ou incorretos
e justificando tecnicamente cada conclusão.
Ao final dessa parte, apresente claramente qual alternativa está correta
e por quê.
Análise das alternativas
A) Explique por que a alternativa está correta ou incorreta. Apresente
o raciocínio necessário para justificar a conclusão.
B) Explique por que a alternativa está correta ou incorreta. Apresente
o raciocínio necessário para justificar a conclusão.
C) Explique por que a alternativa está correta ou incorreta. Apresente
o raciocínio necessário para justificar a conclusão.
D) Explique por que a alternativa está correta ou incorreta. Apresente
o raciocínio necessário para justificar a conclusão.
E) Explique por que a alternativa está correta ou incorreta. Apresente
o raciocínio necessário para justificar a conclusão.
REGRAS PARA A RESOLUÇÃO:
- A resolução deve ser autocontida e compreensível para alguém que
  esteja estudando o conteúdo.
- Explique os conceitos necessários para compreender a resposta.
- Não seja excessivamente breve ou superficial.
- Não apenas diga que uma alternativa está errada: explique o erro.
- Quando uma alternativa for parcialmente correta, explique exatamente
  em que ponto ela se torna incorreta.
- Quando a questão apresentar afirmações numeradas (I, II, III etc.),
  analise cada uma individualmente antes de avaliar as alternativas.
- Quando for relevante, explique por que uma alternativa pode parecer
  plausível, mas está incorreta.
- Não invente informações que não estejam presentes no enunciado ou que
  não sejam necessárias para a resolução.
- Não mencione gabarito, INEP, critérios de avaliação, confiança,
  dificuldade, ambiguidade, força dos distratores, ausência de resposta
  ou qualquer outro parâmetro de avaliação dentro da resolução.
- Não mencione que você é uma IA ou que a resposta foi gerada por um
  modelo.
- Escreva naturalmente, como um professor explicando a resolução para
  um aluno.
A resolução deve conter somente o conteúdo necessário para explicar a
questão e justificar a alternativa correta.
IMPORTANTE:
A resolução acima deve ser retornada como uma única STRING no campo
"explicacao_final". Não transforme "explicacao_final" em um objeto
JSON. As quebras de linha da resolução devem ser representadas como
"\\n" dentro da string JSON. Não inclua dentro de "explicacao_final"
nenhum dos parâmetros de avaliação utilizados para gerar os demais
campos da resposta.
==================================================
FORMATO DE SAÍDA
==================================================
Sua resposta DEVE ser exclusivamente um array JSON válido contendo
exatamente 7 elementos, nesta ordem:
[
  numero_da_questao,
  se_acertou,
  explicacao_ta_boa,
  sem_rastro_llm,
  acordo_com_inep,
  anulada_tem_explicacao,
  explicacao_final
]
Não coloque markdown.
Não coloque ```json.
Não coloque explicações antes ou depois do array.
Não coloque campos adicionais.
Use aspas duplas nas strings.
Quando anulada_tem_explicacao não se aplicar, use null sem aspas.
==================================================
DADOS DA QUESTÃO
==================================================
Número da questão:
{numero_questao}
Enunciado:
{enunciado}
Situação oficial:
{texto_situacao}
Gabarito INEP:
{texto_gabarito_inep}
Modelo que gerou a resposta avaliada (se disponível):
{texto_modelo_base}
Resposta avaliada (é esta resposta que você deve avaliar nos critérios
acima, comparando-a com o Gabarito INEP fornecido):
{texto_resposta_avaliada}
==================================================
FIM DOS DADOS
==================================================
"""</t>
  </si>
  <si>
    <t>Questão 16</t>
  </si>
  <si>
    <t>QUESTÃO 16
Um navegador Web executa em um hospedeiro A, em uma rede de uma organização, e acessa uma página localizada de um servidor Web em um hospedeiro B, situado em outra rede na Internet. A rede em que A se situa conta com um servidor DNS local. Um profissional deseja fazer uma lista com a sequência de protocolos empregados e comparar com o resultado apresentado por uma ferramenta de monitoramento executada no hospedeiro A.
A lista assume que
i) todas as tabelas com informações temporárias e caches estão vazias;
ii) o hospedeiro cliente está configurado com o endereço IP do servidor DNS local.
Qual das sequências a seguir representa a ordem em que mensagens, segmentos e pacotes serão observados em um meio físico ao serem enviados pelo hospedeiro A?
A) ARP, DNS/UDP/IP, TCP/IP e HTTP/TCP/IP.
B) ARP, DNS/UDP/IP, HTTP/TCP/IP e TCP/IP.
C) DNS/UDP/IP, ARP, HTTP/TCP/IP e TCP/IP.
D) DNS/UDP/IP, ARP, TCP/IP e HTTP/TCP/IP.
E) HTTP/TCP/IP, TCP/IP, DNS/UDP/IP e ARP.</t>
  </si>
  <si>
    <t>Sonnet 5</t>
  </si>
  <si>
    <t>C</t>
  </si>
  <si>
    <t>Política educacional e história da educação no Brasil</t>
  </si>
  <si>
    <t>Direito à educação, cidadania e democracia; evolução do marco legal da educação (Constituição de 1988, art. 208)</t>
  </si>
  <si>
    <t>Questão 26</t>
  </si>
  <si>
    <t>JUSTIFICATIVA DA RESPOSTA:
A primeira asserção é verdadeira. A educação é reconhecida como condição para o exercício da cidadania e para a consolidação democrática, e o próprio texto de apoio associa a educação universal ao "pleno desenvolvimento da pessoa" e ao "exercício da cidadania". Universalizar o acesso escolar amplia a participação política, o acesso a direitos e a igualdade de oportunidades, o que sustenta a democracia.
A segunda asserção é falsa. Ela afirma que, ao longo do século XX, por meio da atuação de representantes no Executivo e no Legislativo, o direito de acesso à educação passou a ser garantido, inclusive a jovens e adultos fora da idade escolar. O enunciado indica o contrário: apesar do debate desde a Primeira República, das reformas do período getulista e da primeira LDB (1961), foi somente com a Constituição de 1988 que a educação universal foi assegurada como direito de todos. O dever do Estado de ofertar ensino a quem não teve acesso na idade própria (art. 208) também é uma conquista de 1988, já no fim do século XX e não ao longo dele. Antes disso, havia discussão, reformas e expansão parcial, mas não a garantia universal do direito. Assim, a segunda asserção contradiz o próprio texto de apoio ("É somente com a Constituição de 1988...") e é falsa. Como a primeira é verdadeira e a segunda é falsa, a opção correta é C.</t>
  </si>
  <si>
    <t>ANÁLISE DAS ALTERNATIVAS:
A:
Incorreta. Exige que ambas sejam verdadeiras e que a segunda justifique a primeira, mas a segunda é falsa ao afirmar que o direito foi garantido ao longo do século XX, quando o texto indica que isso só ocorreu com a Constituição de 1988.
B:
Incorreta. Também exige que as duas asserções sejam verdadeiras. A segunda é falsa, então a alternativa não se sustenta, independentemente de haver ou não relação de justificativa.
C:
Correta. A primeira asserção é verdadeira (educação universal como condição para cidadania e democracia) e a segunda é falsa (a garantia do direito de acesso à educação, inclusive para jovens e adultos, não se consolidou ao longo do século XX, mas apenas com a Constituição de 1988).
D:
Incorreta. Inverte a valoração: a primeira não é falsa, pois a relação entre educação, cidadania e democracia é amplamente reconhecida e coerente com o texto de apoio.
E:
Incorreta. A primeira asserção é verdadeira, então não se pode dizer que ambas sejam falsas.</t>
  </si>
  <si>
    <t>QUESTÃO 26
Um baralho tem 52 cartas, organizadas em 4 naipes, com 13 valores diferentes para cada naipe.
Os valores possíveis são: Ás, 2, 3, ..., 10, J, Q, K.
No jogo de poker, uma das combinações de 5 cartas mais valiosas é o full house, que é formado por três cartas de mesmo valor e outras duas cartas de mesmo valor. São exemplos de full houses: i) três cartas K e duas 10 (como visto na figura) ou ii) três cartas 4 e duas Ás.
Quantas possibilidades para full house existem em um baralho de 52 cartas?
A) 156.
B) 624.
C) 1872.
D) 3744.
E) 7488.</t>
  </si>
  <si>
    <t>JUSTIFICATIVA DA AMBIGUIDADE:
Nível 1. O ponto sensível é a expressão "no decorrer do século XX" na segunda asserção. A Constituição de 1988 pertence ao século XX, o que poderia levar a considerar a asserção verdadeira. No entanto, o enunciado enfatiza que a garantia universal ocorreu "somente" em 1988, e a asserção sugere um processo gradual de garantia ao longo do século por meio da atuação dos representantes, o que a torna inadequada. Ainda assim, é possível identificar C como a alternativa mais adequada.</t>
  </si>
  <si>
    <t>JUSTIFICATIVA DOS DISTRATORES:
Nível 2. As alternativas A e B são os principais distratores. A segunda asserção é parcialmente verdadeira: houve atuação do Legislativo e do Executivo e a Constituição de 1988 se insere no século XX, o que faz parecer que o direito foi garantido nesse período. Além disso, as duas asserções tratam do mesmo tema e parecem se complementar, o que induz a marcar A ou B. A distinção exige atenção à ideia de que o direito universal só foi assegurado em 1988, e não ao longo do século XX.</t>
  </si>
  <si>
    <t>7</t>
  </si>
  <si>
    <t>Questão 27</t>
  </si>
  <si>
    <t>QUESTÃO 27
Um dos problemas clássicos da computação científica é a multiplicação de matrizes. Assuma que foram declaradas e inicializadas três matrizes quadradas de ponto flutuante, a, b e c, cujos índices variam entre 0 e n - 1. O seguinte trecho de código pode ser usado para multiplicar matrizes de forma sequencial:
1. for [i = 0 to n - 1] {
2.     for [j = 0 to n - 1] {
3.         c[i, j] = 0.0;
4.         for [k = 0 to n - 1]
5.             c[i, j] = c[i, j] + a[i, k] * b[k, j];
6.     }
7. }
O objetivo é paralelizar esse código para que o tempo de execução seja reduzido em uma máquina com múltiplos processadores e memória compartilhada. Suponha que o comando “co” seja usado para definição de comandos concorrentes, da seguinte forma:
“co [i = 0 to n - 1] { x; y; z;}”
cria n processos concorrentes, cada um executando sequencialmente uma instância dos comandos x, y, z contidos no bloco.
Avalie as seguintes afirmações sobre o problema.
I. Esse problema é exemplo do que se chama “embaraçosamente paralelo”, porque pode ser decomposto em um conjunto de várias operações menores que podem ser executadas independentemente.
II. O programa produziria resultados corretos e em tempo menor do que o sequencial, trocando-se o “for” na linha 1 por um “co”.
III. O programa produziria resultados corretos e em tempo menor do que o sequencial, trocando-se o “for” na linha 2 por um “co”.
IV. O programa produziria resultados corretos e em tempo menor do que o sequencial, trocando-se ambos “for”, nas linhas 1 e 2, por “co”.
É correto o que se afirma em
A) I, II e III, apenas.
B) I, II e IV, apenas.
C) I, III e IV, apenas.
D) II, III e IV, apenas.
E) I, II, III e IV.</t>
  </si>
  <si>
    <t>Desenvolvimento sustentável</t>
  </si>
  <si>
    <t>Sustentabilidade ambiental, econômica e sociopolítica</t>
  </si>
  <si>
    <t>Questão 29</t>
  </si>
  <si>
    <t>JUSTIFICATIVA DA RESPOSTA:
A alternativa B é a correta porque o desenvolvimento sustentável exige uma mudança na forma de avaliar as decisões econômicas, considerando não apenas os custos e benefícios financeiros imediatos, mas também os impactos socioeconômicos, ambientais e os valores associados ao consumo e à preservação dos recursos naturais.
O conceito apresentado no enunciado busca conciliar as necessidades das gerações atuais com a capacidade das gerações futuras. Portanto, não pressupõe a interrupção ou estagnação do desenvolvimento econômico, mas sim sua reorientação para um modelo que considere os efeitos ambientais e sociais das atividades econômicas.
A redefinição dos critérios de custo-benefício mencionada na alternativa B é compatível com essa perspectiva, pois permite incorporar os custos ambientais e sociais que normalmente não aparecem nas avaliações econômicas tradicionais.</t>
  </si>
  <si>
    <t>QUESTÃO 29
Uma antiga empresa de desenvolvimento de software resolveu atualizar toda sua infraestrutura computacional adquirindo um sistema operacional multitarefa, processadores multi-core (múltiplos núcleos) e o uso de uma linguagem de programação com suporte a threads.
O sistema operacional multitarefa de um computador é capaz de executar vários processos (programas) em paralelo. Considerando esses processos implementados com mais de uma thread (multi-threads), analise as afirmações abaixo.
I. Os ciclos de vida de processos e threads são idênticos.
II. Threads de diferentes processos compartilham memória.
III. Somente processadores multi-core são capazes de executar programas multi-threads.
IV. Em sistemas operacionais multitarefa, threads podem migrar de um processo para outro.
É correto apenas o que se afirma em
A) I.
B) II.
C) I e III.
D) I e IV.
E) II e IV.</t>
  </si>
  <si>
    <t>ANÁLISE DAS ALTERNATIVAS:
A:
Incorreta. A primeira parte está de acordo com o desenvolvimento sustentável ao mencionar a preservação do equilíbrio global e do capital natural. Porém, a afirmação de que isso não justificaria a desaceleração do desenvolvimento econômico e político é inadequada. O desenvolvimento sustentável pode exigir mudanças, limitações ou até redução de determinadas atividades econômicas quando elas comprometem os recursos naturais e o equilíbrio ambiental.
B:
Correta. O desenvolvimento sustentável requer que as decisões econômicas considerem os efeitos socioeconômicos e ambientais e atribuam importância adequada tanto ao consumo quanto à preservação dos recursos naturais. A redefinição dos critérios de avaliação de custo-benefício está diretamente relacionada à integração das dimensões ambiental, econômica e social da sustentabilidade.
C:
Incorreta. A afirmação de que os recursos naturais são ilimitados contradiz diretamente a ideia de sustentabilidade. O próprio conceito pressupõe a existência de recursos naturais limitados e a necessidade de utilizá-los de maneira que não comprometa as gerações futuras.
D:
Incorreta. Embora a redução do consumo de recursos naturais possa ser necessária em determinadas situações, o desenvolvimento sustentável não pressupõe necessariamente a estagnação econômica e tecnológica. A proposta é conciliar desenvolvimento com conservação ambiental e responsabilidade social.
E:
Incorreta. O desenvolvimento sustentável não pressupõe uma distribuição homogênea das reservas naturais entre países e regiões. A questão central é o uso responsável e sustentável dos recursos existentes, considerando suas limitações e os impactos de sua utilização.</t>
  </si>
  <si>
    <t>JUSTIFICATIVA DA AMBIGUIDADE:
0 = Sem ambiguidade. O enunciado apresenta claramente o conceito de desenvolvimento sustentável e suas três dimensões. Entre as alternativas, B é a única que traduz adequadamente a necessidade de integrar os impactos ambientais e socioeconômicos às decisões de desenvolvimento.</t>
  </si>
  <si>
    <t>JUSTIFICATIVA DOS DISTRATORES:
2 = Distratores fortes. A alternativa A é o principal distrator, pois começa com uma afirmação compatível com a sustentabilidade — preservação do equilíbrio global e do capital natural —, mas apresenta uma conclusão inadequada ao rejeitar a possibilidade de desaceleração ou limitação do desenvolvimento. A alternativa D também é plausível por relacionar redução do consumo de recursos naturais à sustentabilidade, mas erra ao associá-la necessariamente à estagnação econômica e tecnológica.</t>
  </si>
  <si>
    <t>Questão 37</t>
  </si>
  <si>
    <t>Componente Específico — Ciência da Computação</t>
  </si>
  <si>
    <t>QUESTÃO 37
Escopo dinâmico: para as linguagens com escopo dinâmico, a vinculação das variáveis ao escopo é realizada em tempo de execução. (...) Se uma variável é local ao bloco, então o uso da dada variável no bloco será sempre vinculado àquela local. Contudo, se a variável for não-local, a sua vinculação depende da ordem de execução, a última vinculada na execução. A consequência disso é que, em um mesmo bloco de comandos, um identificador pode ter significados diferentes, e o programador precisa ter a ideia precisa de qual variável está sendo usada.
de MELO, A. C. V.; da SILVA, F. S. C. Princípios de Linguagens de Programação. São Paulo: Edgard Blücher, 2003. p. 65.
Suponha que uma linguagem de programação tenha sido projetada com vinculação e verificação estáticas para tipos de variáveis, além de passagem de parâmetros por valor. Também é exigido pela especificação da linguagem que programas sejam compilados integralmente e que não é permitido compilar bibliotecas separadamente. Durante uma revisão da especificação da linguagem, alguém propôs que seja adicionado um mecanismo para suporte a variáveis com escopo dinâmico.
A respeito da proposta de modificação da linguagem, analise as seguintes afirmações.
I. As variáveis com escopo dinâmico podem ser tratadas como se fossem parâmetros para os subprogramas que as utilizam, sem que o programador tenha que especificá-las ou declarar seu tipo (o compilador fará isso). Assim, elimina-se a necessidade de polimorfismo e é possível verificar tipos em tempo de compilação.
II. Como diferentes subprogramas podem declarar variáveis com o mesmo nome mas com tipos diferentes, se as variáveis com escopo dinâmico não forem declaradas no escopo onde são referenciadas, será necessário que a linguagem suporte polimorfismo de tipos.
III. Se as variáveis dinâmicas forem declaradas tanto nos escopos onde são criadas como nos subprogramas em que são referenciadas, marcadas como tendo escopo dinâmico, será possível identificar todos os erros de tipo em tempo de compilação.
É correto apenas o que se afirma em
A) I.
B) II.
C) I e III.
D) II e III.
E) I, II e III.</t>
  </si>
  <si>
    <t>Questão 39</t>
  </si>
  <si>
    <t>QUESTÃO 39
Tipo abstrato de dados (TAD) é um conceito de linguagens de programação que permite a criação de novos tipos de dados. A especificação de um TAD inclui um conjunto de operações que podem ser realizadas sobre os valores do tipo, bem como a descrição de sua representação interna e a implementação dessas operações.
A respeito de tipos abstratos de dados, analise as afirmações a seguir.
I. A especificação de um tipo abstrato de dados é composta pelas operações permitidas sobre o tipo, pela representação interna de seus dados e pelas implementações dessas operações.
II. Composição e herança são mecanismos que podem ser utilizados na implementação de tipos abstratos de dados em linguagens orientadas a objetos.
III. Se S é um subtipo de T, então entidades do tipo S podem ser substituídas por entidades do tipo T.
IV. O encapsulamento é um dos efeitos positivos obtidos com o uso de tipos abstratos de dados.
É correto apenas o que se afirma em
A) I.
B) II.
C) I e III.
D) II e IV.
E) III e IV.</t>
  </si>
  <si>
    <t>Desenvolvimento Sustentável</t>
  </si>
  <si>
    <t>Dimensões da Sustentabilidade e Valoração Econômico-Ambiental</t>
  </si>
  <si>
    <t>JUSTIFICATIVA DA RESPOSTA:
O desenvolvimento sustentável fundamenta-se na articulação entre as dimensões ambiental, econômica e sociopolítica, demandando a revisão dos paradigmas econômicos neoclássicos que historicamente desconsideraram as externalidades socioambientais. Para viabilizar a transição rumo a um modelo sustentável, torna-se necessário redefinir os instrumentos de avaliação de custo-benefício e de contabilidade econômica, incorporando a valoração do capital natural, o custo real da degradação e os impactos socioeconômicos derivados tanto dos padrões de consumo quanto das decisões de preservação.</t>
  </si>
  <si>
    <t>ANÁLISE DAS ALTERNATIVAS:
A:
Incorreta. Embora cite a preservação do equilíbrio global e das reservas de capital natural, a afirmação final restringe a lógica do desenvolvimento sustentável ao condicioná-lo a não desacelerar o crescimento econômico e político, desconsiderando que o modelo pode exigir readequações no ritmo e na natureza da expansão econômica para respeitar os limites planetários.
B:
Correta. Corresponde diretamente à necessidade de transformação dos paradigmas econômicos mencionada no texto. O desenvolvimento sustentável exige a internalização das externalidades socioambientais nos cálculos de custo-benefício, atribuindo valor econômico e social real às ações de preservação e aos custos do consumo.
C:
Incorreta. A premissa de que os recursos naturais são ilimitados é conceitualmente incorreta. O desenvolvimento sustentável surge justamente do reconhecimento da finitude dos recursos naturais e da necessidade de gerir restrições ecológicas.
D:
Incorreta. O desenvolvimento sustentável não defende a estagnação econômica e tecnológica, mas sim a reorientação da tecnologia e da economia para padrões de eficiência ecológica, economia circular e inclusão social.
E:
Incorreta. A distribuição geográfica das reservas naturais é determinada por fatores biogeológicos e não pode ser fisicamente homogênea. O conceito aborda a gestão equitativa, a governança e o acesso justo aos recursos, e não a padronização geográfica de sua ocorrência.</t>
  </si>
  <si>
    <t>JUSTIFICATIVA DA AMBIGUIDADE:
Atribuiu-se nível 0 (Sem ambiguidade) porque o enunciado apresenta claramente as premissas do desenvolvimento sustentável e o questionamento dos paradigmas econômicos vigentes, tornando a alternativa B a única resposta teoricamente fundamentada e logicamente coerente.</t>
  </si>
  <si>
    <t>JUSTIFICATIVA DOS DISTRATORES:
Atribuiu-se nível 1 (Distratores moderados). A alternativa A atua como o principal distrator por empregar terminologia adequada ("equilíbrio global", "capital natural"), podendo induzir ao erro. As opções C, D e E trazem equívocos conceituais diretos (recursos ilimitados, estagnação e distribuição homogênea), permitindo descarte rápido por quem domina o tema.</t>
  </si>
  <si>
    <t>Meio ambiente e desenvolvimento sustentável</t>
  </si>
  <si>
    <t>Dimensões da sustentabilidade (ambiental, econômica e sociopolítica) e valoração econômica do consumo e da preservação de recursos naturais</t>
  </si>
  <si>
    <t>JUSTIFICATIVA DA RESPOSTA:
O texto define desenvolvimento sustentável como o atendimento às necessidades atuais sem comprometer as gerações futuras e o divide em três componentes: ambiental, econômica e sociopolítica. Um desenvolvimento assim concebido pressupõe rever os parâmetros com que a sociedade decide o que produzir e consumir. É preciso incorporar aos cálculos de custo-benefício os custos socioambientais do consumo (esgotamento de recursos, poluição, mudança climática) e o valor real da preservação (serviços ecossistêmicos, biodiversidade, água). A alternativa B expressa isso ao falar em redefinir critérios e instrumentos de avaliação de custo-benefício que reflitam os efeitos socioeconômicos e os valores reais do consumo e da preservação. Ela articula as três dimensões, é coerente com o "questionamento crescente de paradigmas estabelecidos na economia" mencionado no texto e não contém afirmações conceitualmente falsas.</t>
  </si>
  <si>
    <t>ANÁLISE DAS ALTERNATIVAS:
A:
Incorreta. Parte de uma ideia compatível com o tema (preservar o equilíbrio global e o capital natural), mas afirma que isso "não justifica a desaceleração" do desenvolvimento econômico e político. O desenvolvimento sustentável pode exigir a reorientação, e em certos casos a moderação, de atividades econômicas que degradam o capital natural. A afirmação categórica é problemática e o foco da alternativa não está na mudança de critérios de decisão.
B:
Correta. O desenvolvimento sustentável pressupõe internalizar, nos critérios de decisão, os custos socioambientais e os valores reais do consumo e da preservação. Com isso, a análise de custo-benefício deixa de considerar apenas ganhos econômicos imediatos, como exige o equilíbrio entre as três dimensões da sustentabilidade.
C:
Incorreta. Afirma que os recursos naturais são "ilimitados", o que é falso: a própria noção de sustentabilidade parte da finitude e da possibilidade de esgotamento dos recursos, e o texto trata de "reservas" e da ameaça da crise ambiental. Também contradiz a ideia de preservar recursos para as gerações futuras.
D:
Incorreta. Associa sustentabilidade à "estagnação" do desenvolvimento econômico e tecnológico. O conceito busca compatibilizar desenvolvimento e preservação, o que envolve inovação tecnológica e uso mais eficiente dos recursos. Não se trata de reduzir o consumo para paralisar o desenvolvimento.
E:
Incorreta. A distribuição das reservas naturais é determinada pela geografia e pela geologia, e o desenvolvimento sustentável não pressupõe redistribuí-las de forma homogênea entre nações e regiões. O texto, aliás, destaca a posição privilegiada do Brasil justamente por abrigar grandes reservas. O conceito trata do uso responsável e equitativo dos recursos, e não de sua distribuição física uniforme.</t>
  </si>
  <si>
    <t>JUSTIFICATIVA DA AMBIGUIDADE:
Nível 0. O enunciado é claro, apresenta a definição e os três componentes do desenvolvimento sustentável, e apenas a alternativa B é coerente com esse referencial. As demais contêm erros conceituais identificáveis ("ilimitados", "estagnação", "distribuição homogênea").</t>
  </si>
  <si>
    <t>JUSTIFICATIVA DOS DISTRATORES:
Nível 1. A alternativa A é o principal distrito plausível, pois começa com uma formulação verdadeira (preservação do equilíbrio global e do capital natural) e só se mostra inadequada na segunda parte, ao afirmar categoricamente que a preservação não justifica nenhuma desaceleração do desenvolvimento. C, D e E têm erros conceituais mais evidentes: recursos ilimitados, estagnação e distribuição homogênea. Após a análise conceitual, B permanece claramente superior.</t>
  </si>
  <si>
    <t>8</t>
  </si>
  <si>
    <t>Desigualdade social e responsabilização individual</t>
  </si>
  <si>
    <t>Estigmatização da classe trabalhadora e interpretação dos distúrbios sociais na Inglaterra</t>
  </si>
  <si>
    <t>JUSTIFICATIVA DA RESPOSTA:
A alternativa C (II e III) é a correta.
O texto critica a interpretação dos distúrbios como consequência de defeitos individuais das classes mais baixas. Jones afirma que os acontecimentos servem como uma espécie de “cortina de fumaça” para sustentar a ideia de que os problemas sociais seriam resultado de comportamentos ou falhas individuais, em vez de problemas estruturais.
A afirmação II está correta porque corresponde diretamente a essa ideia: os distúrbios foram utilizados para atribuir problemas sociais a comportamentos individuais.
A afirmação III também está correta. Jones afirma que os políticos responsabilizam os indivíduos pela desigualdade e pela falta de oportunidades, enquanto ele relaciona essas condições a falhas mais amplas e ao abandono governamental.
As afirmações I e IV estão incorretas. O termo chavs não é um apelido que exalta os hábitos de consumo; trata-se de uma forma depreciativa de se referir à classe trabalhadora. Além disso, o texto não afirma que as manifestações reivindicavam inclusão nos padrões de consumo.</t>
  </si>
  <si>
    <t>ANÁLISE DAS ALTERNATIVAS:
A:
Incorreta. A afirmação II está correta, mas a I está incorreta. O termo chavs é apresentado como um insulto usado para escarnecer dos hábitos de consumo das classes trabalhadoras, e não como um apelido que os exalta.
B:
Incorreta. A afirmação I está incorreta e a IV também não é sustentada pelo texto. Embora II esteja correta, isso não torna a alternativa adequada.
C:
Correta. As afirmações II e III estão de acordo com as ideias apresentadas no texto. Jones critica a responsabilização dos indivíduos pelos problemas sociais e pela desigualdade, destacando a existência de causas mais amplas.
D:
Incorreta. A afirmação III está correta, mas I e IV estão incorretas. O texto caracteriza chavs de maneira depreciativa e não afirma que os manifestantes buscavam inclusão nos padrões de consumo vigentes.
E:
Incorreta. As afirmações II e III estão corretas, porém IV é incorreta. O texto não apresenta as manifestações como reivindicações de inclusão nos padrões de consumo.</t>
  </si>
  <si>
    <t>JUSTIFICATIVA DA AMBIGUIDADE:
0 — Sem ambiguidade. O texto fornece elementos claros para identificar que chavs é uma denominação depreciativa e que Jones critica a responsabilização individual pela desigualdade. Também não há no texto suporte para a ideia de que as manifestações reivindicavam inclusão nos padrões de consumo.</t>
  </si>
  <si>
    <t>JUSTIFICATIVA DOS DISTRATORES:
1 — Distratores moderados. A principal fonte de dificuldade está nas afirmações I e IV. A afirmação I pode confundir quem associa diretamente o termo aos hábitos de consumo mencionados no texto, ignorando que esses hábitos são alvo de escárnio. A IV pode parecer plausível pela relação entre consumo e classe trabalhadora, mas não é uma reivindicação apresentada no texto.</t>
  </si>
  <si>
    <t>Interpretação de Texto</t>
  </si>
  <si>
    <t>Análise do Discurso e Análise Crítica de Texto</t>
  </si>
  <si>
    <t>JUSTIFICATIVA DA RESPOSTA:
A análise do fragmento textual demonstra que apenas as afirmações II e III refletem adequadamente as ideias de Owen Jones.
A afirmação II está correta, pois o texto declara expressamente que "os distúrbios estão servindo como o argumento ideal para que se faça valer a ideologia de que os problemas sociais são resultados de defeitos individuais".
A afirmação III está correta, pois o autor aponta o "sistemático abandono governamental" (falta/insuficiência de políticas públicas) e denuncia a filosofia política em que "você é culpado pela falta de oportunidades" e "os políticos insistem em culpar os indivíduos pela desigualdade".
A afirmação I é incorreta, pois o termo chavs é definido como um "insulto" usado para "escarnecer" (zombar/debochar) dos hábitos de consumo, o que opõe-se ao sentido de "exaltar".
A afirmação IV é incorreta, visto que o texto não menciona que as manifestações de rua tinham como pauta a reivindicação por inclusão nos padrões de consumo.
Portanto, a alternativa C (II e III) é a única correta.</t>
  </si>
  <si>
    <t>ANÁLISE DAS ALTERNATIVAS:
A:
Incorreta. A afirmação I é falsa porque o termo chavs não exalta os hábitos de consumo, mas sim serve para escarnecer (ridicularizar) a classe trabalhadora.
B:
Incorreta. Ambas as afirmações (I e IV) são falsas. A afirmação I contradiz a noção de insulto contida no texto, e a afirmação IV faz uma extrapolação não sustentada pelo fragmento em relação aos objetivos dos manifestantes.
C:
Correta. Seleciona precisamente as duas afirmações (II e III) que possuem sustentação direta e textual no excerto fornecido.
D:
Incorreta. Contém as afirmações I e IV, ambas em desacordo com as informações do texto.
E:
Incorreta. Contém a afirmação IV, que atribui indevidamente uma pauta de inclusão ao consumo que não é afirmada no texto.</t>
  </si>
  <si>
    <t>JUSTIFICATIVA DA AMBIGUIDADE:
Atribuiu-se nível 0 (Sem ambiguidade) porque o texto apresenta vocabulário claro e direto, permitindo ao leitor confrontar facilmente o sentido das afirmações com as passagens do texto, de modo que há apenas uma alternativa categoricamente correta.</t>
  </si>
  <si>
    <t>JUSTIFICATIVA DOS DISTRATORES:
Atribuiu-se nível 1 (Distratores moderados). Embora a alternativa E possa atrair leitores que façam associações externas sobre protestos e consumismo (afirmação IV), a constatação do erro na afirmação I (pela contradição entre "escarnecer" e "exaltar") descarta imediatamente as alternativas A, B e D, facilitando o afunilamento para a alternativa C.</t>
  </si>
  <si>
    <t>9</t>
  </si>
  <si>
    <t>Interpretação de texto (Ciências Humanas / Sociologia)</t>
  </si>
  <si>
    <t>Desigualdade social, estigmatização da classe trabalhadora e responsabilização individual (ideologia neoliberal)</t>
  </si>
  <si>
    <t>JUSTIFICATIVA DA RESPOSTA:
O texto apresenta a tese de Owen Jones: "chav" é um insulto usado para escarnecer dos hábitos de consumo da classe trabalhadora. Segundo o autor, os distúrbios servem como "argumento ideal" para reforçar a ideologia de que os problemas sociais decorrem de defeitos individuais, e não de falhas estruturais. Essa ideologia, difundida desde Thatcher, culpa os indivíduos pela falta de oportunidades e pela desigualdade, embora tal falta resulte do abandono governamental. Assim, as afirmações II e III são coerentes com o texto, e as afirmações I e IV não encontram respaldo nele.</t>
  </si>
  <si>
    <t>ANÁLISE DAS ALTERNATIVAS:
A:
Incorreta. Inclui a afirmação I, falsa, pois "chavs" é um apelido usado para escarnecer, e não para exaltar, os hábitos de consumo da classe trabalhadora.
B:
Incorreta. Inclui as afirmações I e IV, ambas sem respaldo no texto, e exclui as afirmações II e III, que são compatíveis com ele.
C:
Correta. Reúne exatamente as afirmações II e III, que refletem a crítica de Jones: os distúrbios são usados para atribuir problemas sociais a falhas individuais, e os indivíduos da classe trabalhadora são culpabilizados pela falta de oportunidades gerada pelo abandono governamental.
D:
Incorreta. Inclui as afirmações I e IV, falsas, e omite a afirmação II, que é verdadeira.
E:
Incorreta. Inclui a afirmação IV, que o texto não sustenta. O texto não informa que as manifestações reivindicavam inclusão nos padrões de consumo. Jones trata da estigmatização e do abandono governamental, e apenas comenta o uso do termo "chavs" para escarnecer dos hábitos de consumo. Exclui ainda a afirmação I, que também não está no texto, mas o erro central é a inclusão da IV. Apesar de conter II e III, corretas, a alternativa é inválida por esse motivo.</t>
  </si>
  <si>
    <t>JUSTIFICATIVA DA AMBIGUIDADE:
Nível 0. O enunciado é claro, o texto oferece informações suficientes para avaliar cada afirmação e há uma única alternativa que reúne exatamente as afirmações verdadeiras (II e III). A pergunta pede "apenas" o que é correto, o que delimita bem a resposta.</t>
  </si>
  <si>
    <t>JUSTIFICATIVA DOS DISTRATORES:
Nível 1. A alternativa E é o principal distrator: contém as afirmações II e III, corretas, e acrescenta a IV, que pode parecer plausível por associar as manifestações ao consumo, tema presente no texto. A afirmação IV, porém, extrapola o que o texto diz, pois ele não afirma que os protestos tinham essa reivindicação. A afirmação I inverte o sentido de "escarnecer" e é facilmente descartada por quem lê o texto com atenção. Por isso, a resposta correta permanece claramente superior.</t>
  </si>
  <si>
    <t>D</t>
  </si>
  <si>
    <t>Relações de equivalência</t>
  </si>
  <si>
    <t>Classes de equivalência, conjunto quociente e projeção canônica</t>
  </si>
  <si>
    <t>JUSTIFICATIVA DA RESPOSTA:
A alternativa D (I e IV) é a correta.
I é verdadeira. Uma relação de equivalência particiona o conjunto \(A\) em classes de equivalência. Essas classes são duas a duas disjuntas e sua união é todo o conjunto \(A\).
II é falsa. A união de todas as classes de equivalência não resulta no conjunto das partes de \(A\), isto é, \(\mathcal P(A)\). A união das classes resulta no próprio conjunto:
$$ \bigcup_{a\in A}\overline a=A. $$
O conjunto das partes \(\mathcal P(A)\) é o conjunto de todos os subconjuntos de \(A\), sendo muito maior em geral.
III é falsa. As três relações apresentadas são:
\(=\);
\(\equiv \pmod n\);
\(\geq\).
A igualdade e a congruência módulo \(n\) são relações de equivalência em \(\mathbb Z\). Entretanto, \(\geq\) não é simétrica. Por exemplo:
$$ 3\geq2 $$
é verdadeira, mas
$$ 2\geq3 $$
é falsa. Portanto, \(\geq\) não é relação de equivalência e, consequentemente, a afirmação III é falsa.
IV é verdadeira. Dada uma relação de equivalência \(\sim\), sua projeção canônica é
$$ \pi:A\rightarrow A/{\sim}, \qquad \pi(a)=\overline a. $$
Dois elementos possuem a mesma imagem pela projeção canônica exatamente quando pertencem à mesma classe:
$$ a\sim b \iff \pi(a)=\pi(b). $$
Assim, a relação de equivalência pode ser caracterizada a partir de sua projeção canônica.
Portanto:
$$ \boxed{I\text{ e }IV\text{ são verdadeiras}} $$
e a resposta é D.</t>
  </si>
  <si>
    <t>E</t>
  </si>
  <si>
    <t>ANÁLISE DAS ALTERNATIVAS:
A:
Incorreta. A afirmação II é falsa, pois a união das classes de equivalência é \(A\), e não \(\mathcal P(A)\).
B:
Incorreta. A afirmação III é falsa porque a relação \(\geq\) não é simétrica em \(\mathbb Z\).
C:
Incorreta. Embora I seja verdadeira, III é falsa pela presença da relação \(\geq\), que não é uma relação de equivalência.
D:
Correta. As afirmações I e IV são verdadeiras.
E:
Incorreta. II é falsa, enquanto IV é verdadeira; portanto, o conjunto correto não é II e IV.</t>
  </si>
  <si>
    <t>JUSTIFICATIVA DA AMBIGUIDADE:
0 — Sem ambiguidade. As definições fornecidas são suficientes para verificar diretamente as quatro afirmações. A única notação que exige atenção é a da afirmação III, mas a imagem deixa identificáveis as relações \(=\), \(\equiv(\bmod n)\) e \(\geq\).</t>
  </si>
  <si>
    <t>JUSTIFICATIVA DOS DISTRATORES:
2 — Distratores fortes. A principal dificuldade está nas alternativas C e D. A afirmação III contém duas relações que realmente são de equivalência (\(=\) e \(\equiv \pmod n\)) junto de uma que não é (\(\geq\)), podendo induzir ao erro quem não verificar todas as propriedades. Além disso, a afirmação IV exige compreender a relação entre uma relação de equivalência e sua projeção canônica, funcionando como um distrator conceitualmente próximo.</t>
  </si>
  <si>
    <t>11</t>
  </si>
  <si>
    <t>15</t>
  </si>
  <si>
    <t>16</t>
  </si>
  <si>
    <t>Teoria dos Conjuntos</t>
  </si>
  <si>
    <t>Relações de Equivalência, Conjunto Quociente e Partições</t>
  </si>
  <si>
    <t>JUSTIFICATIVA DA RESPOSTA:A resolução depende da verificação da veracidade das quatro afirmações:Afirmação I (Correta): Pelo Teorema Fundamental das Relações de Equivalência, toda relação de equivalência em um conjunto $A$ induz uma partição de $A$, ou seja, divide $A$ em subconjuntos não vazios, dois a dois disjuntos, cuja união é o próprio conjunto $A$. Esses subconjuntos são exatamente as classes de equivalência.Afirmação II (Incorreta): A união de todas as classes de equivalência de $\sim$ resulta no próprio conjunto $A$ (pois todo elemento $a \in A$ pertence à sua própria classe $\bar{a}$), e não no conjunto das partes de $A$, que é $\mathcal{P}(A)$ (o conjunto de todos os subconjuntos de $A$).Afirmação III (Incorreta): A relação de igualdade ($=$) e a congruência módulo $n$ ($\equiv \pmod n$) são relações de equivalência em $\mathbb{Z}$. No entanto, a relação "maior ou igual a" ($\ge$) não é simétrica (por exemplo, $3 \ge 2$, mas $2 \ngeq 3$). Logo, $\ge$ é uma relação de ordem, não de equivalência.Afirmação IV (Correta): Dada a projeção canônica $\pi: A \to A/{\sim}$ definida por $\pi(a) = \bar{a}$, a relação de equivalência induzida por $\pi$ é dada por $a \sim_\pi b \iff \pi(a) = \pi(b) \iff \bar{a} = \bar{b} \iff a \sim b$. Portanto, toda relação de equivalência $\sim$ em $A$ coincide com a relação induzida (proveniente) de sua projeção canônica.Portanto, estão corretas apenas as afirmações I e IV, correspondendo à alternativa D.</t>
  </si>
  <si>
    <t>26</t>
  </si>
  <si>
    <t>ANÁLISE DAS ALTERNATIVAS:A:Incorreta. A afirmação II é falsa, pois a união das classes de equivalência resulta em $A$, e não no conjunto das partes $\mathcal{P}(A)$. Além disso, omite a afirmação I, que é verdadeira.B:Incorreta. A afirmação III é falsa, pois a relação $\ge$ não cumpre a propriedade simétrica, não sendo uma relação de equivalência.C:Incorreta. Embora a afirmação I seja verdadeira, a afirmação III é falsa devido à presença da relação $\ge$.D:Correta. As afirmações I e IV são logicamente e matematicamente verdadeiras, cobrindo com precisão as propriedades de uma relação de equivalência e da projeção canônica.E:Incorreta. Embora a afirmação IV seja verdadeira, a afirmação II é falsa.</t>
  </si>
  <si>
    <t>JUSTIFICATIVA DA AMBIGUIDADE:
Atribuído nível 0 (sem ambiguidade). O enunciado define formalmente todos os conceitos necessários (relação de equivalência, classe de equivalência, conjunto quociente e projeção canônica) de forma clara e rigorosa, e a imagem fornece com precisão as notações matemáticas. As afirmações possuem valor-verdade bem determinado sem margem para duplas interpretações.</t>
  </si>
  <si>
    <t>JUSTIFICATIVA DOS DISTRATORES:
Atribuído nível 1 (distratores moderados). A alternativa C atua como o principal distrator para candidatos que confundem a relação de ordem (≥) com uma relação de equivalência por compartilharem a propriedade reflexiva e transitiva, ignorando a ausência da simetria.</t>
  </si>
  <si>
    <t>27</t>
  </si>
  <si>
    <t>29</t>
  </si>
  <si>
    <t>37</t>
  </si>
  <si>
    <t>39</t>
  </si>
  <si>
    <t>Relações de Equivalência e Conjunto Quociente</t>
  </si>
  <si>
    <t>JUSTIFICATIVA DA RESPOSTA:
A afirmação I é verdadeira: é um resultado clássico da teoria dos conjuntos que toda relação de equivalência sobre um conjunto A induz uma partição de A em subconjuntos disjuntos (as classes de equivalência), cuja união é o próprio A. A afirmação IV também é verdadeira: dada uma relação de equivalência ~ em A, a projeção canônica π: A → A/~, definida por π(a) = ā, satisfaz π(a) = π(a') se, e somente se, a ~ a'. Assim, a relação de equivalência original pode ser inteiramente recuperada (é "proveniente") a partir das fibras da projeção canônica associada a ela — este é precisamente o conteúdo do teorema que relaciona relações de equivalência a funções sobrejetoras (fatoração canônica). Como I e IV são as únicas afirmações corretas, a alternativa correta é a D.</t>
  </si>
  <si>
    <t>ANÁLISE DAS ALTERNATIVAS:
A:
Incorreta. Afirma apenas II, que é falsa, pois a união das classes de equivalência resulta no próprio conjunto A, e não no conjunto das partes de A (que teria cardinalidade muito maior).
B:
Incorreta. Afirma apenas III, que é falsa, pois nem todas as três relações citadas (=, ≡ (mod n), ≥) são de equivalência em Z: a relação ≥ não é simétrica (por exemplo, 5 ≥ 3 não implica 3 ≥ 5), violando a propriedade (ii).
C:
Incorreta. Combina I (verdadeira) com III (falsa, pelo motivo exposto acima quanto à relação ≥).
D:
Correta. Combina I e IV, ambas verdadeiras, conforme justificado.
E:
Incorreta. Combina II (falsa) com IV (verdadeira).</t>
  </si>
  <si>
    <t>JUSTIFICATIVA DA AMBIGUIDADE:
0. O enunciado apresenta definições formais e precisas (classe de equivalência, conjunto quociente, projeção canônica), e as quatro afirmações podem ser avaliadas objetivamente com base em conhecimento matemático padrão, sem margem para interpretações alternativas razoáveis.</t>
  </si>
  <si>
    <t>JUSTIFICATIVA DOS DISTRATORES:
2. As alternativas C e E são distratores fortes, pois cada uma combina uma afirmação verdadeira com uma falsa, exigindo que o candidato avalie corretamente todas as quatro afirmações individualmente para não ser induzido a erro por associação parcial. Em particular, a alternativa B (III) exige verificação cuidadosa de três relações distintas simultaneamente, e o esquecimento de checar a simetria da relação ≥ pode levar a um erro; da mesma forma, II pode parecer plausível a quem confunde "conjunto quociente" com "conjunto das partes" por associação superficial de terminologia.</t>
  </si>
  <si>
    <t>Teoria da Computação</t>
  </si>
  <si>
    <t>Problema da parada e decidibilidade</t>
  </si>
  <si>
    <t>JUSTIFICATIVA DA RESPOSTA:
O problema da parada consiste em determinar, para uma máquina de Turing \(M\) e uma entrada \(w\), se \(M\) eventualmente irá parar ou continuará executando indefinidamente.
Esse problema é indecidível. Isso significa que não existe um algoritmo geral capaz de determinar corretamente, para toda possível máquina de Turing e toda possível entrada, se a execução irá parar.
A questão não é relacionada à quantidade de tempo disponível para execução. Mesmo que fosse permitido um tempo exponencial, ou qualquer outro tempo finito, não existiria um algoritmo que resolvesse corretamente todos os casos.
Portanto, a alternativa correta é C: não existe algoritmo que o solucione, não importa quanto tempo seja disponibilizado.</t>
  </si>
  <si>
    <t>ANÁLISE DAS ALTERNATIVAS:
A:
Incorreta. Não existe algoritmo exato para resolver o problema da parada. Consequentemente, não pode existir um algoritmo polinomial que o resolva.
B:
Incorreta. O problema da parada não se torna decidível simplesmente permitindo tempo exponencial. A impossibilidade é de natureza computacional: não existe algoritmo geral que resolva todos os casos.
C:
Correta. O problema da parada é indecidível. Não existe algoritmo que, para qualquer máquina de Turing e qualquer entrada, sempre determine corretamente se a máquina irá parar.
D:
Incorreta. Um algoritmo de aproximação não resolve o problema da parada no sentido apresentado. O problema exige determinar corretamente se a execução termina ou não; não existe um algoritmo geral que forneça essa decisão por aproximação e, com isso, solucione o problema.
E:
Incorreta. O fato de o tempo de execução ser exponencial não elimina a indecidibilidade. Além disso, uma aproximação não fornece uma solução para o problema de decisão exigido.</t>
  </si>
  <si>
    <t>JUSTIFICATIVA DA AMBIGUIDADE:
Nível 0 (sem ambiguidade). O enunciado define claramente o problema da parada e as alternativas apresentam as possibilidades fundamentais: existência de algoritmos exatos com diferentes complexidades ou inexistência de algoritmo geral. O conceito de indecidibilidade determina claramente a alternativa C.</t>
  </si>
  <si>
    <t>JUSTIFICATIVA DOS DISTRATORES:
Nível 1 (distratores moderados). As alternativas A e B podem confundir quem associa problemas difíceis a diferentes classes de complexidade, como polinomial ou exponencial. D e E também podem parecer plausíveis para quem confunde indecidibilidade com aproximação algorítmica. Entretanto, para quem conhece o conceito de problema indecidível, a alternativa C é claramente superior.</t>
  </si>
  <si>
    <t>Decidibilidade e o Problema da Parada (Máquinas de Turing)</t>
  </si>
  <si>
    <t>JUSTIFICATIVA DA RESPOSTA:
O Problema da Parada, demonstrado por Alan Turing em 1936, é um problema indecidível (não computável). Dizer que um problema de decisão é indecidível significa que é matematicamente impossível construir um algoritmo geral — isto é, um procedimento computacional de passos finitos que sempre termine e forneça a resposta correta — para resolver o problema para qualquer Máquina de Turing $M$ e entrada $w$. Como não existe algoritmo capaz de resolvê-lo, a limitação é conceitual e estrutural, não dependendo da quantidade de tempo ou poder de processamento disponibilizados.</t>
  </si>
  <si>
    <t>ANÁLISE DAS ALTERNATIVAS:
A:
Incorreta. Como o problema da parada é indecidível, não existe nenhum algoritmo que o resolva, seja em tempo polinomial ou em qualquer outro limite temporal.
B:
Incorreta. A indecidibilidade do problema implica a inexistência de qualquer algoritmo de solução geral, inviabilizando inclusive algoritmos em tempo exponencial.
C:
Correta. Esta alternativa expressa com exatidão o resultado do Teorema da Indecidibilidade de Turing: não existe algoritmo capaz de resolver o problema da parada para todas as instâncias possíveis, independentemente do tempo concedido.
D:
Incorreta. A indecidibilidade é uma propriedade fundamental que impede a existência de algoritmos de decisão gerais; a noção de "algoritmo de aproximação" não se aplica de forma a tornar um problema de decisão indecidível solucionável.
E:
Incorreta. Pelos mesmos motivos da alternativa D, a existência de um algoritmo de aproximação exponencial não resolve o problema da parada, pois ele permanece estritamente indecidível.</t>
  </si>
  <si>
    <t>JUSTIFICATIVA DA AMBIGUIDADE:
Nível 0 (Sem ambiguidade). O enunciado define o problema da parada de forma precisa e as alternativas contrapõem diretamente a existência/inexistência de algoritmos de solução, permitindo identificar sem dúvidas a alternativa C como a única correta.</t>
  </si>
  <si>
    <t>JUSTIFICATIVA DOS DISTRATORES:
Nível 0 (Distratores fracos). A indecidibilidade do problema da parada é um dos teoremas mais fundamentais e conhecidos da Ciência da Computação. Qualquer candidato com domínio básico do tema identifica imediatamente que a resposta envolve a inexistência de algoritmo.</t>
  </si>
  <si>
    <t>Problema da Parada / Computabilidade</t>
  </si>
  <si>
    <t>JUSTIFICATIVA DA RESPOSTA:
O problema da parada é o exemplo clássico e canônico de problema indecidível, demonstrado por Alan Turing em 1936. A indecidibilidade é uma propriedade absoluta: não se trata de uma limitação de tempo ou recursos computacionais, mas de uma impossibilidade lógica demonstrada por prova de diagonalização/redução ao absurdo. Não existe, e não pode existir, nenhum algoritmo (de qualquer complexidade de tempo, seja ela polinomial, exponencial ou mesmo não limitada) capaz de decidir corretamente, para toda máquina de Turing M e toda entrada w, se M para ou não em w. Isso é diferente de problemas intratáveis (como os NP-difíceis), para os quais existem algoritmos exatos, ainda que de tempo exponencial, ou heurísticas/aproximações. O problema da parada está em uma categoria distinta: a indecidibilidade, onde nenhum algoritmo — exato ou aproximado — pode resolvê-lo para todos os casos.</t>
  </si>
  <si>
    <t>ANÁLISE DAS ALTERNATIVAS:
A:
Incorreta. Não existe sequer um algoritmo exato de qualquer complexidade temporal, quanto mais um de tempo polinomial. Confunde indecidibilidade com intratabilidade computacional.
B:
Incorreta. Pelo mesmo motivo: nenhum algoritmo exato resolve o problema, independentemente do tempo de execução, seja ele exponencial ou de qualquer outra ordem.
C:
Correta. Reflete corretamente o teorema de Turing (1936): o problema da parada é indecidível, isto é, não existe nenhum algoritmo que o resolva corretamente para todas as entradas possíveis, não importando quanto tempo computacional seja disponibilizado.
D:
Incorreta. O conceito de "algoritmo de aproximação" aplica-se tipicamente a problemas de otimização (como os NP-difíceis), onde se busca uma solução próxima da ótima. Não existe uma noção padrão de "solução aproximada" para um problema de decisão binário (para/não para) que seja indecidível; a indecidibilidade não é contornável por aproximação.
E:
Incorreta. Pelo mesmo motivo da alternativa D: não há algoritmo de aproximação válido para contornar a indecidibilidade do problema da parada, independentemente da complexidade de tempo alegada.</t>
  </si>
  <si>
    <t>JUSTIFICATIVA DA AMBIGUIDADE:
O enunciado define claramente o problema da parada e apresenta alternativas com formulações mutuamente excludentes sobre a existência ou não de algoritmos exatos/aproximados. Não há ambiguidade textual ou conceitual: a teoria da computabilidade estabelece de forma inequívoca que o problema é indecidível.</t>
  </si>
  <si>
    <t>JUSTIFICATIVA DOS DISTRATORES:
As alternativas D e E introduzem a ideia de "algoritmos de aproximação", um conceito válido e familiar no contexto de problemas NP-difíceis, mas aplicado de forma inadequada a um problema de decisão indecidível. Isso pode confundir candidatos que associam automaticamente "problema difícil" a "necessidade de aproximação", sem diferenciar intratabilidade (NP-completude) de indecidibilidade (problema da parada). Por isso, atribuo força moderada (nível 1) aos distratores, sem chegar ao nível 2, pois a distinção entre indecidibilidade e intratabilidade é um conceito fundamental e bem estabelecido para quem estudou teoria da computação.</t>
  </si>
  <si>
    <t>Redes de Computadores</t>
  </si>
  <si>
    <t>ICMP e descoberta de rotas — traceroute</t>
  </si>
  <si>
    <t>JUSTIFICATIVA DA RESPOSTA:
A alternativa D (ICMP) é a correta.
A ferramenta descrita é essencialmente o funcionamento do traceroute/tracert: descobrir, salto a salto, os roteadores que formam o caminho até um determinado destino e medir o round-trip time (RTT) até cada salto.
O ICMP possui mensagens de controle e de erro que permitem realizar essa descoberta sem exigir alterações nos roteadores ou a criação de um novo protocolo. Uma técnica clássica utiliza pacotes com TTL (Time To Live) progressivamente aumentado. Quando o TTL chega a zero em um roteador intermediário, esse roteador envia uma mensagem ICMP Time Exceeded de volta ao hospedeiro de origem. Dessa forma, a ferramenta identifica o endereço IP do roteador e calcula o RTT a partir do tempo entre o envio e o recebimento da resposta.
Assim, o ICMP fornece exatamente os mecanismos necessários para implementar essa funcionalidade de forma compatível com a Internet existente.</t>
  </si>
  <si>
    <t>ANÁLISE DAS ALTERNATIVAS:
A:
Incorreta. O IP é responsável pelo endereçamento e encaminhamento dos datagramas entre redes. Embora o campo TTL do IP seja fundamental para a técnica utilizada pelo traceroute, o protocolo IP, isoladamente, não fornece a mensagem de resposta necessária para identificar cada roteador quando o TTL expira.
B:
Incorreta. O UDP pode ser utilizado por algumas implementações de traceroute para enviar os pacotes de sondagem, mas não é o protocolo que fornece a mensagem de erro utilizada para identificar os roteadores intermediários. O mecanismo de resposta é baseado em ICMP.
C:
Incorreta. O TCP poderia ser usado como protocolo de transporte para determinadas sondagens, mas não é necessário para descobrir os roteadores. Além disso, o TCP estabelece uma conexão e possui mecanismos de transporte que não são necessários para essa finalidade.
D:
Correta. O ICMP é utilizado para mensagens de controle e diagnóstico da rede. Em particular, a mensagem ICMP Time Exceeded, gerada quando o TTL de um pacote chega a zero, permite que a ferramenta descubra cada roteador intermediário. Medindo o tempo entre o envio da sondagem e o recebimento da resposta ICMP, também é possível obter o RTT de cada salto.
E:
Incorreta. O DHCP é utilizado principalmente para configuração dinâmica de parâmetros de rede, como endereço IP, máscara de sub-rede e gateway. Ele não foi projetado para descobrir o caminho entre um hospedeiro e um destino.</t>
  </si>
  <si>
    <t>JUSTIFICATIVA DA AMBIGUIDADE:
0 — Sem ambiguidade. O enunciado descreve diretamente a funcionalidade do traceroute, e entre as alternativas o ICMP é claramente o protocolo associado às mensagens de diagnóstico necessárias para descobrir os roteadores intermediários e medir o RTT.</t>
  </si>
  <si>
    <t>JUSTIFICATIVA DOS DISTRATORES:
1 — Distratores moderados. A alternativa A (IP) é o principal distrator, pois o TTL utilizado na técnica pertence ao cabeçalho IP. A alternativa B (UDP) também pode parecer plausível porque algumas implementações de traceroute utilizam UDP nas sondagens. Entretanto, o mecanismo essencial de retorno que permite identificar o salto é fornecido pelo ICMP.</t>
  </si>
  <si>
    <t>Protocolos da Camada de Rede e Diagnóstico (ICMP e Traceroute)</t>
  </si>
  <si>
    <t>JUSTIFICATIVA DA RESPOSTA:
A ferramenta descrita no enunciado é a funcionalidade clássica do Traceroute (tracert no Windows). Essa ferramenta mapeia a rota até um destino enviando pacotes com o campo Time to Live (TTL) do cabeçalho IP ajustado de forma incremental (iniciando em 1, depois 2, 3 e assim por diante). Quando o pacote atinge um roteador intermediário e seu TTL chega a zero, o protocolo IP especifica que o pacote deve ser descartado e uma mensagem de erro deve ser enviada de volta à origem. A mensagem responsável por esse reporte é a mensagem ICMP do tipo Time Exceeded (Tempo Excedido). Ao receber essa mensagem ICMP, o hospedeiro de origem descobre o endereço IP do roteador intermediário (presente no campo de cabeçalho do pacote ICMP recebido) e calcula o Round-Trip Time (RTT) medindo o intervalo de tempo entre o envio do pacote original e a recepção da resposta ICMP. Portanto, o ICMP (Internet Control Message Protocol) é o protocolo especificamente projetado para essa função de controle e diagnóstico sem necessidade de alterar a infraestrutura da Internet.</t>
  </si>
  <si>
    <t>ANÁLISE DAS ALTERNATIVAS:
A:
Incorreta. Embora o protocolo IP forneça a estrutura de endereçamento e o campo TTL no seu cabeçalho, ele não possui mecanismo próprio para gerar notificações de diagnóstico ou reportar erros de volta à origem quando o TTL expira. Essa função é delegada ao protocolo ICMP.
B:
Incorreta. O UDP é um protocolo da camada de transporte. Embora algumas implementações do traceroute (como em sistemas Unix/Linux) enviem datagramas UDP com TTL baixo para portas altas e não utilizadas, o UDP em si não é o protocolo responsável por notificar o vencimento do TTL nem por identificar os roteadores intermediários.
C:
Incorreta. O TCP é um protocolo orientado à conexão da camada de transporte. Embora existam ferramentas como o tcptraceroute (usadas para atravessar firewalls que bloqueiam UDP/ICMP), o TCP não é o protocolo de sinalização responsável por enviar as mensagens de tempo excedido a partir dos roteadores intermediários.
D:
Correta. O ICMP é o protocolo de controle e sinalização da camada de rede projetado exatamente para reporte de erros e testes de diagnóstico na arquitetura TCP/IP. As mensagens ICMP de Time Exceeded permitem identificar o IP dos roteadores intermediários e medir o RTT a cada salto.
E:
Incorreta. O DHCP é um protocolo da camada de aplicação cuja finalidade é a atribuição dinâmica de endereços IP e parâmetros de rede a dispositivos clientes na rede local, não possuindo qualquer relação com rastreamento de rotas ou medição de RTT.</t>
  </si>
  <si>
    <t>JUSTIFICATIVA DA AMBIGUIDADE:
Atribuiu-se o nível 0 (Sem ambiguidade) porque o enunciado apresenta claramente todos os requisitos funcionais de uma ferramenta de rastreamento de rotas (traceroute), e o protocolo ICMP é a única resposta conceitualmente exata para o mecanismo de diagnóstico e sinalização de erros exigido.</t>
  </si>
  <si>
    <t>JUSTIFICATIVA DOS DISTRATORES:
Atribuiu-se o nível 1 (Distratores moderados) pois o IP (devido ao uso do campo TTL no cabeçalho) e o UDP (usado na geração dos pacotes em algumas versões de traceroute) podem confundir candidatos com conhecimento parcial, embora a análise detalhada confirme que o protocolo de controle encarregado da resposta de diagnóstico é unicamente o ICMP.</t>
  </si>
  <si>
    <t>Camada de rede — ferramenta traceroute e protocolo ICMP</t>
  </si>
  <si>
    <t>JUSTIFICATIVA DA RESPOSTA:
A ferramenta descrita é, essencialmente, um traceroute: ela precisa obter o endereço IP de cada roteador no caminho até um destino e o tempo de ida e volta (RTT) até cada um deles, sem exigir qualquer modificação nos roteadores existentes ou novos protocolos. O mecanismo clássico usado pelo traceroute explora o campo TTL (Time To Live) do cabeçalho IP: envia-se um pacote com TTL=1, que expira no primeiro roteador; este, por sua vez, descarta o pacote e retorna uma mensagem ICMP do tipo "Time Exceeded" (TTL excedido) ao hospedeiro de origem, revelando seu endereço IP. O processo se repete incrementando o TTL (2, 3, 4...) até que o pacote alcance o destino, que responde com uma mensagem ICMP "Destination Unreachable" (quando se usa uma porta UDP inválida) ou "Echo Reply" (quando se usa ICMP Echo). Em qualquer uma das variantes de implementação (a que usa pacotes UDP ou a que usa pacotes ICMP Echo Request para os saltos), é o ICMP que fornece, tanto nos roteadores intermediários quanto no destino, as mensagens de erro/resposta que revelam o endereço IP de origem da mensagem e permitem calcular o RTT (pela diferença entre o instante de envio e o de recebimento da mensagem ICMP correspondente). Esse mecanismo já está amplamente implementado em todos os roteadores da Internet atual (é uma funcionalidade padrão do IP/ICMP), não exigindo nenhuma mudança de infraestrutura nem novos protocolos. Portanto, o protocolo ICMP é a solução mais simples e eficiente, pois é exatamente o mecanismo (mensagens de erro/controle da camada de rede) que fundamenta o funcionamento do traceroute.</t>
  </si>
  <si>
    <t>ANÁLISE DAS ALTERNATIVAS:
A:
Incorreta. O IP é o protocolo de encaminhamento de pacotes e contém o campo TTL usado no mecanismo, mas por si só o IP não gera nenhuma mensagem de resposta ou notificação ao remetente quando um pacote é descartado; ele apenas transporta dados. Sem um protocolo de controle/erro complementar (ICMP), o hospedeiro de origem jamais saberia o endereço dos roteadores intermediários nem mediria o RTT.
B:
Incorreta, mas é um distrator relativamente forte, pois o UDP é de fato utilizado por algumas implementações de traceroute (como a do Unix/Linux) para gerar os pacotes de sondagem enviados com TTL crescente. Entretanto, o UDP em si não é o protocolo que informa o endereço dos roteadores ou o RTT — essa informação vem das mensagens ICMP de erro geradas em resposta aos pacotes UDP descartados. Logo, o UDP é apenas um veículo de transporte da sondagem, não o protocolo responsável pela funcionalidade central solicitada.
C:
Incorreta. O TCP é um protocolo de transporte orientado à conexão, focado em entrega confiável e controle de fluxo/congestionamento entre extremidades (origem e destino). Ele não é projetado para revelar roteadores intermediários nem depende de respostas de saltos ao longo do caminho; roteadores intermediários não processam nem respondem ao TCP como tal.
D:
Correta. Conforme detalhado na justificativa, o ICMP fornece as mensagens de "Time Exceeded" e "Destination Unreachable"/"Echo Reply" que permitem identificar hop a hop os roteadores do caminho e medir o RTT até cada um, sendo o mecanismo já implementado nativamente em toda a Internet atual, dispensando mudanças de protocolo.
E:
Incorreta. O DHCP é um protocolo de configuração automática de endereços IP para hospedeiros em uma rede local; não tem qualquer relação com descoberta de rotas, roteadores intermediários ou medição de RTT ao longo de um caminho até um destino remoto.</t>
  </si>
  <si>
    <t>JUSTIFICATIVA DA AMBIGUIDADE:
Atribuo nível 1 porque, na prática, implementações reais do traceroute podem usar pacotes de sondagem UDP (Unix/Linux) ou ICMP Echo Request (Windows) para provocar as respostas dos roteadores — ou seja, o "protocolo de sondagem" enviado varia. Isso pode gerar alguma dúvida sobre se a resposta esperada seria UDP (por ser usado no traceroute clássico Unix) em vez de ICMP. Entretanto, o enunciado pede o protocolo que "representaria a melhor (mais simples e eficiente) solução" para revelar o IP dos roteadores e o RTT — e é o ICMP, por meio de suas mensagens de erro/controle, que efetivamente fornece essa informação em qualquer variante da ferramenta, inclusive na variante puramente ICMP (ping-based traceroute), que dispensa até mesmo o uso de UDP. Assim, ainda é possível apontar uma alternativa claramente mais adequada.</t>
  </si>
  <si>
    <t>JUSTIFICATIVA DOS DISTRATORES:
Atribuo nível 2 porque a alternativa B (UDP) é um distrator conceitualmente forte: o UDP é de fato historicamente associado à implementação padrão do traceroute em sistemas Unix/Linux, o que pode induzir quem conhece essa implementação específica a marcá-lo como resposta. Requer análise cuidadosa para perceber que o papel do UDP é apenas o de "gatilho" para provocar a resposta ICMP, e que a informação de endereço/RTT em si é sempre entregue via ICMP, independentemente do protocolo usado para a sondagem.</t>
  </si>
  <si>
    <t>Redes de computadores</t>
  </si>
  <si>
    <t>Resolução DNS, ARP, TCP/IP e HTTP</t>
  </si>
  <si>
    <t>JUSTIFICATIVA DA RESPOSTA:
Como as tabelas e caches estão inicialmente vazias, o hospedeiro A precisa primeiro descobrir, por meio do ARP, o endereço MAC associado ao próximo salto (normalmente o gateway/roteador) para conseguir enviar os pacotes para fora da rede local.
Depois, como A está configurado com o endereço do servidor DNS local, ocorre uma consulta DNS utilizando DNS sobre UDP/IP, para descobrir o endereço IP do servidor Web B.
Com o endereço IP de B conhecido, o navegador precisa estabelecer uma conexão TCP, portanto são observadas mensagens/segmentos TCP/IP antes do envio da requisição HTTP.
Finalmente, a requisição da página é transportada por HTTP sobre TCP/IP.
Assim, a sequência é:
ARP → DNS/UDP/IP → TCP/IP → HTTP/TCP/IP
Portanto, a alternativa correta é A.</t>
  </si>
  <si>
    <t>ANÁLISE DAS ALTERNATIVAS:
A:
Correta. Representa a sequência lógica dos protocolos: ARP para resolução do endereço de enlace necessário ao envio inicial, DNS/UDP/IP para obter o IP do servidor Web, TCP/IP para estabelecer a conexão e HTTP/TCP/IP para transportar a requisição HTTP.
B:
Incorreta. Coloca HTTP/TCP/IP antes de TCP/IP. Entretanto, o HTTP utiliza TCP como protocolo de transporte, e a conexão TCP precisa ser estabelecida antes da transmissão da requisição HTTP.
C:
Incorreta. Coloca DNS antes de ARP. Como as tabelas ARP estão vazias, para que A consiga enviar a consulta DNS ao servidor DNS local, é necessário primeiro resolver o endereço de enlace do próximo salto através de ARP.
D:
Incorreta. Embora coloque ARP depois de DNS, a consulta DNS já precisa ser enviada pela rede. Além disso, a ordem entre TCP/IP e HTTP/TCP/IP está correta, mas a resolução ARP deve ocorrer antes da comunicação IP inicial.
E:
Incorreta. Inverte completamente a ordem necessária. HTTP depende de uma conexão TCP previamente estabelecida, e tanto a comunicação TCP quanto a consulta DNS dependem da resolução necessária no nível de enlace.</t>
  </si>
  <si>
    <t>JUSTIFICATIVA DA AMBIGUIDADE:
0 — Sem ambiguidade. O enunciado informa explicitamente que as tabelas e caches estão vazias e que A possui o endereço do DNS local. Essas condições permitem determinar claramente a sequência esperada. A alternativa A é a única que apresenta a ordem conceitualmente adequada.</t>
  </si>
  <si>
    <t>JUSTIFICATIVA DOS DISTRATORES:
2 — Distratores fortes. As alternativas B, C e D exploram principalmente inversões entre etapas que realmente fazem parte do processo. Em especial, B pode parecer plausível por listar todos os protocolos envolvidos, mas coloca HTTP antes do estabelecimento da conexão TCP. C e D exploram a relação entre ARP e DNS, exigindo compreender que a consulta DNS também precisa ser encapsulada em IP e transmitida pelo meio físico, o que exige a resolução de enlace necessária.</t>
  </si>
  <si>
    <t>Pilha de Protocolos TCP/IP e Sequência de Comunicação Web</t>
  </si>
  <si>
    <t>JUSTIFICATIVA DA RESPOSTA:
Para realizar o acesso à página Web a partir do hospedeiro A com todas as tabelas de cache vazias, os protocolos atuam na seguinte ordem cronológica:
ARP: Como a tabela ARP está vazia, o hospedeiro A não possui o endereço físico (MAC) do próximo salto no meio físico (gateway padrão ou servidor DNS local). Antes de transmitir qualquer datagrama IP, A precisa enviar um quadro ARP em broadcast para obter o endereço MAC de destino na camada de enlace.
DNS/UDP/IP: De posse do endereço MAC, o hospedeiro A envia uma mensagem de requisição DNS (camada de aplicação) encapsulada em um datagrama UDP (transporte) e pacote IP (rede) para resolver o nome de domínio do hospedeiro B no seu respetivo endereço IP.
TCP/IP: Após receber a resposta DNS com o endereço IP de B, o hospedeiro A precisa estabelecer a conexão orientada à conexão na camada de transporte via TCP (handshake de três vias: SYN, SYN-ACK, ACK) antes de enviar requisições da aplicação.
HTTP/TCP/IP: Com o circuito virtual TCP estabelecido, o hospedeiro A envia a requisição HTTP (camada de aplicação) encapsulada em segmentos TCP e pacotes IP.</t>
  </si>
  <si>
    <t>ANÁLISE DAS ALTERNATIVAS:
A:
Correta. Apresenta a ordem cronológica exata de execução dos protocolos considerando a ausência de informações em cache: resolução de endereço MAC via ARP, resolução de nome de domínio via DNS/UDP/IP, estabelecimento de conexão via TCP/IP e envio da requisição de aplicação via HTTP/TCP/IP.
B:
Incorreta. Inverte a ordem final entre HTTP/TCP/IP e TCP/IP, posicionando a mensagem da camada de aplicação HTTP antes do estabelecimento da conexão TCP de suporte.
C:
Incorreta. Posiciona a consulta DNS antes da requisição ARP, desconsiderando a premissa de que a tabela ARP está vazia e que o endereço MAC de enlace é estritamente necessário para enviar o pacote IP do DNS no meio físico. Além disso, inverte HTTP e TCP.
D:
Incorreta. Embora ordene corretamente o TCP antes do HTTP, falha ao colocar o protocolo DNS/UDP/IP antes do ARP, desconsiderando a ausência do mapeamento IP-para-MAC no cache ARP do cliente.
E:
Incorreta. Apresenta uma ordem inversa do fluxo real de comunicação, colocando o protocolo de aplicação HTTP no início e o protocolo de resolução de enlace ARP ao final.</t>
  </si>
  <si>
    <t>JUSTIFICATIVA DA AMBIGUIDADE:
Nível 0 (Sem ambiguidade). As premissas do enunciado são claras ao explicitar que todos os caches estão vazios e que a requisição é iniciada pelo cliente A. A ordem das dependências entre a resolução de enlace (ARP), resolução de nomes (DNS), transporte (TCP) e aplicação (HTTP) segue estritamente a arquitetura em camadas do modelo TCP/IP.</t>
  </si>
  <si>
    <t>JUSTIFICATIVA DOS DISTRATORES:
Nível 1 (Distratores moderados). A alternativa D funciona como um distrator plausível para examinandos que se recordam corretamente de realizar o handshake TCP antes da requisição HTTP, mas esquecem que a ausência do cache ARP exige a resolução do endereço MAC antes da própria transmissão da consulta DNS.</t>
  </si>
  <si>
    <t>Pilha de protocolos TCP/IP – sequência de mensagens (ARP, DNS, TCP, HTTP)</t>
  </si>
  <si>
    <t>JUSTIFICATIVA DA RESPOSTA:
Como todas as tabelas e caches estão vazias, o hospedeiro A não conhece o endereço MAC do servidor DNS local (que está na mesma rede). Assim, a primeira mensagem observada no meio físico é uma requisição ARP para descobrir esse endereço MAC. Resolvido o MAC, A pode enviar a mensagem de consulta DNS encapsulada em UDP/IP para obter o endereço IP do hospedeiro B. Somente após obter esse IP, A pode iniciar a conexão TCP com B, o que exige a troca de segmentos TCP/IP (three-way handshake) antes de qualquer dado de aplicação. Só depois que a conexão TCP é estabelecida é que a mensagem HTTP (requisição da página) pode ser enviada, encapsulada em TCP/IP. Logo, a sequência correta observada no meio físico é: ARP, DNS/UDP/IP, TCP/IP (estabelecimento da conexão) e HTTP/TCP/IP (dados da aplicação).</t>
  </si>
  <si>
    <t>ANÁLISE DAS ALTERNATIVAS:
A:
Correta. Segue exatamente a lógica: resolução MAC do servidor DNS local (ARP) → consulta DNS (UDP/IP) para obter o IP de B → estabelecimento da conexão TCP com B (TCP/IP) → envio da requisição HTTP sobre a conexão já estabelecida (HTTP/TCP/IP).
B:
Incorreta. Inverte a ordem entre a conexão TCP e a mensagem HTTP. Não é possível enviar a requisição HTTP antes de o handshake TCP (SYN, SYN-ACK, ACK) ser concluído, pois HTTP roda sobre uma conexão TCP já estabelecida.
C:
Incorreta. Coloca a consulta DNS antes do ARP, mas como as tabelas estão vazias, A não tem o MAC do servidor DNS local e precisa primeiro fazer ARP para poder enviar o pacote IP contendo a consulta DNS no enlace local. Também inverte TCP/IP e HTTP/TCP/IP, cometendo o mesmo erro da alternativa B.
D:
Incorreta pelo mesmo motivo da C quanto à ordem DNS/ARP: sem entradas na tabela ARP, o pacote DNS não pode ser transmitido no meio físico antes da resolução do MAC do servidor DNS local via ARP.
E:
Incorreta. Apresenta a ordem totalmente invertida, colocando HTTP antes do estabelecimento da conexão TCP e antes até da resolução de nomes e endereços via DNS e ARP, o que é fisicamente impossível dado o funcionamento das camadas de rede.</t>
  </si>
  <si>
    <t>JUSTIFICATIVA DA AMBIGUIDADE:
O enunciado é claro quanto às condições iniciais (caches vazias, IP do DNS local conhecido) e permite determinar de forma inequívoca a ordem lógica de resolução de endereços, consulta de nomes, estabelecimento de conexão e transporte de dados da aplicação. Não há margem para interpretações alternativas que levem a uma sequência diferente.</t>
  </si>
  <si>
    <t>JUSTIFICATIVA DOS DISTRATORES:
As alternativas B, C e D são distratores fortes, pois utilizam os mesmos elementos corretos (ARP, DNS/UDP/IP, TCP/IP, HTTP/TCP/IP), alterando apenas a ordem entre eles. Isso exige que o candidato compreenda com precisão a dependência causal entre resolução de endereço físico, resolução de nome, estabelecimento de conexão de transporte e envio de dados de aplicação, e não apenas reconheça os protocolos envolvidos.</t>
  </si>
  <si>
    <t>Análise Combinatória</t>
  </si>
  <si>
    <t>Combinações e formação de full house no pôquer</t>
  </si>
  <si>
    <t>JUSTIFICATIVA DA RESPOSTA:
Um full house é formado por três cartas de um mesmo valor e duas cartas de outro mesmo valor.
Escolhemos o valor que aparecerá 3 vezes: há 13 possibilidades.
Escolhemos o valor que aparecerá 2 vezes: restam 12 possibilidades.
Para as três cartas do primeiro valor, escolhemos 3 dos 4 naipes:
$$ \binom{4}{3}=4 $$
Para as duas cartas do segundo valor, escolhemos 2 dos 4 naipes:
$$ \binom{4}{2}=6 $$
Portanto:
$$ 13\cdot12\cdot\binom{4}{3}\cdot\binom{4}{2} $$ $$ =13\cdot12\cdot4\cdot6 $$ $$ =3744 $$
Logo, a alternativa correta é D) 3744.</t>
  </si>
  <si>
    <t>ANÁLISE DAS ALTERNATIVAS:
A:
Incorreta. O valor 156 corresponde apenas a \(13\cdot12\), considerando a escolha dos valores do trio e do par, mas não considera as escolhas dos naipes.
B:
Incorreta. O valor 624 pode ser obtido considerando apenas uma das escolhas de naipes, como \(13\cdot12\cdot\binom{4}{3}\), deixando de considerar os naipes do par.
C:
Incorreta. Não contempla todas as combinações possíveis de naipes para o trio e para o par.
D:
Correta. Considera tanto a escolha dos dois valores quanto todas as possibilidades de escolha dos naipes:
$$ 13\cdot12\cdot4\cdot6=3744. $$
E:
Incorreta. Representa uma contagem superior à quantidade correta e decorre de uma supercontagem das possibilidades de formação do full house.</t>
  </si>
  <si>
    <t>JUSTIFICATIVA DA AMBIGUIDADE:
0. O enunciado define claramente o que é um full house e informa que o baralho possui 13 valores e 4 naipes. Há informação suficiente para determinar univocamente a quantidade de combinações.</t>
  </si>
  <si>
    <t>JUSTIFICATIVA DOS DISTRATORES:
2. Os distratores são fortes porque alguns correspondem a etapas parciais da contagem. Por exemplo, 156 considera apenas a escolha dos valores, enquanto 624 pode surgir ao considerar apenas uma das escolhas de naipes. Assim, exigem atenção para perceber que é necessário contabilizar simultaneamente os naipes do trio e do par.</t>
  </si>
  <si>
    <t xml:space="preserve"> Princípio Fundamental da Contagem e Combinação Simples</t>
  </si>
  <si>
    <t>JUSTIFICATIVA DA RESPOSTA:Para calcular a quantidade total de possibilidades para a formação de um full house (combinação de 5 cartas contendo 3 cartas de um mesmo valor e 2 cartas de outro valor diferente), deve-se aplicar o Princípio Multiplicativo em quatro etapas:Escolha do valor da trinca: Há 13 valores possíveis no baralho (Ás, 2, ..., K). O número de maneiras de escolher 1 valor para ser a trinca é $C(13, 1) = 13$.Escolha dos naipes da trinca: Como cada valor possui 4 naipes, a quantidade de modos de escolher 3 cartas entre os 4 naipes disponíveis é $C(4, 3) = 4$.Escolha do valor do par: O valor das duas cartas do par deve ser distinto do valor escolhido para a trinca. Logo, restam 12 valores possíveis, ou seja, $C(12, 1) = 12$.Escolha dos naipes do par: Para o valor selecionado para o par, escolhem-se 2 naipes entre os 4 disponíveis, o que equivale a $C(4, 2) = \frac{4 \times 3}{2} = 6$.Multiplicando todas as etapas independentes:$$\text{Total} = 13 \times C(4, 3) \times 12 \times C(4, 2) = 13 \times 4 \times 12 \times 6 = 52 \times 72 = 3744$$Portanto, existem exatamente 3.744 combinações possíveis.</t>
  </si>
  <si>
    <t>ANÁLISE DAS ALTERNATIVAS:A: Incorreta. O valor 156 é o resultado de $13 \times 12$, representando apenas o número de maneiras de escolher os dois valores (o da trinca e o do par), sem levar em conta a variação de naipes ($C(4,3) \times C(4,2) = 24$).B: Incorreta. O valor 624 é obtido ao fazer $13 \times 4 \times 12$, considerando as combinações de naipes para a trinca ($C(4,3)=4$), mas omitindo as combinações de naipes para o par ($C(4,2)=6$).C: Incorreta. O valor 1.872 corresponde a metade do valor correto, resultando do erro em tratar a escolha dos valores como uma combinação não ordenada $C(13,2) = 78$ em vez de um arranjo $13 \times 12 = 156$. Trinca de Rei com par de 10 é uma mão distinta de trinca de 10 com par de Rei, logo a atribuição dos papéis é assimétrica e a ordem da escolha dos valores importa.D: Correta. Realiza corretamente a contagem considerando a atribuição dos valores à trinca e ao par ($13 \times 12$) combinada com as possíveis seleções de naipes para a trinca ($4$) e para o par ($6$), resultando em $13 \times 4 \times 12 \times 6 = 3744$.E: Incorreta. O valor 7.488 é o dobro da resposta correta ($3744 \times 2$), proveniente de uma multiplicação indevida por 2 ao final do procedimento.</t>
  </si>
  <si>
    <t>JUSTIFICATIVA DA AMBIGUIDADE:
0 (Sem ambiguidade): O enunciado é claro, bem delimitado, especifica corretamente a estrutura do baralho e a regra de formação da mão de full house, permitindo chegar a um resultado único e preciso através de regras matemáticas padrão.</t>
  </si>
  <si>
    <t>JUSTIFICATIVA DOS DISTRATORES:
2 (Distratores fortes): A alternativa C (1.872) atua como um distrator bastante forte, pois decorre do equívoco conceitual clássico em problemas de contagem em que se utiliza combinação C(13,2) para escolher os dois valores em vez do produto 13×12, esquecendo que os papéis do trio e da dupla não são simétricos.</t>
  </si>
  <si>
    <t>Combinações (contagem de mãos de cartas)</t>
  </si>
  <si>
    <t>JUSTIFICATIVA DA RESPOSTA:
Para formar um full house, é preciso escolher: (1) o valor da trinca, dentre 13 valores possíveis; (2) quais 3 dos 4 naipes desse valor compõem a trinca, o que dá C(4,3) = 4 formas; (3) o valor do par, dentre os 12 valores restantes (não pode repetir o valor da trinca); (4) quais 2 dos 4 naipes desse valor compõem o par, o que dá C(4,2) = 6 formas. Pelo princípio multiplicativo, o total é 13 × 4 × 12 × 6 = 3744.</t>
  </si>
  <si>
    <t>ANÁLISE DAS ALTERNATIVAS:
A:
156 corresponde apenas a 13 × 12, sem considerar as combinações de naipes para a trinca e o par. Incorreta.
B:
624 corresponde a 13 × 4 × 12, ou seja, considera as combinações de naipes apenas para a trinca (ou apenas para o par), mas não para ambos. Incorreta.
C:
1872 é o valor correto (3744) dividido por 2; pode surgir de um erro ao tentar evitar dupla contagem que na verdade não existe (trinca e par não são intercambiáveis, pois têm papéis distintos na mão), ou de trocar C(4,3)=4 com C(4,2)=6 de forma inconsistente em alguma etapa do raciocínio. Incorreta.
D:
3744 = 13 × 4 × 12 × 6, resultado correto do princípio multiplicativo aplicado corretamente às quatro etapas de escolha (valor da trinca, naipes da trinca, valor do par, naipes do par). Correta.
E:
7488 é o dobro de 3744, podendo surgir de contar duplamente cada mão (por exemplo, tratando a ordem de escolha entre "valor da trinca" e "valor do par" como gerando arranjos distintos, quando na verdade full house de KKK1010 é uma única mão, não duas). Incorreta.</t>
  </si>
  <si>
    <t>JUSTIFICATIVA DA AMBIGUIDADE:
O enunciado define claramente o que é um full house, fornece exemplos ilustrativos e pergunta objetivamente pela contagem total de possibilidades em um baralho padrão de 52 cartas, sem margem para interpretações alternativas.</t>
  </si>
  <si>
    <t>JUSTIFICATIVA DOS DISTRATORES:
As alternativas B e C são distratores fortes, pois correspondem a erros comuns e conceitualmente relacionados ao raciocínio correto: B esquece de contabilizar as combinações de naipes em uma das etapas, e C surge de uma divisão por 2 aplicada indevidamente (como se houvesse dupla contagem entre trinca e par, o que não ocorre). Esses erros exigem atenção cuidadosa às quatro etapas distintas do processo de contagem para serem evitados.</t>
  </si>
  <si>
    <t>Computação paralela</t>
  </si>
  <si>
    <t>Paralelização da multiplicação de matrizes em memória compartilhada</t>
  </si>
  <si>
    <t>JUSTIFICATIVA DA RESPOSTA:
Na multiplicação de matrizes, cada elemento de c é calculado independentemente dos demais:
c[i,j] = Σ a[i,k] * b[k,j]
Assim, diferentes valores de i e j podem ser processados simultaneamente, pois cada combinação (i,j) escreve em uma posição distinta de c.
A afirmação I está correta porque o cálculo dos elementos da matriz resultado pode ser dividido em várias tarefas independentes, característica associada ao paralelismo embaraçosamente paralelo.
Na II, substituir o for da linha 1 por co cria processos concorrentes para diferentes valores de i. Cada processo calcula uma linha distinta de c, não havendo conflito de escrita.
Na III, substituir o for da linha 2 por co cria processos concorrentes para diferentes valores de j. Cada processo calcula uma coluna distinta de c, também sem conflito.
Na IV, substituir ambos os for das linhas 1 e 2 por co permite paralelismo nos dois níveis. Cada combinação (i,j) é tratada concorrentemente e escreve em uma posição diferente de c. Portanto, os resultados permanecem corretos e há possibilidade de redução do tempo de execução em uma máquina com múltiplos processadores.
Consequentemente, as quatro afirmações estão corretas.</t>
  </si>
  <si>
    <t>ANÁLISE DAS ALTERNATIVAS:
A:
Incorreta. A afirmação IV também é correta, portanto não se pode excluir IV.
B:
Incorreta. A afirmação III também é correta: diferentes colunas de c podem ser calculadas concorrentemente sem conflito.
C:
Incorreta. A afirmação II é correta, pois diferentes linhas de c podem ser calculadas simultaneamente.
D:
Incorreta. A afirmação I é correta, pois os cálculos dos elementos da matriz resultado podem ser decompostos em tarefas independentes.
E:
Correta. As afirmações I, II, III e IV são verdadeiras.</t>
  </si>
  <si>
    <t>JUSTIFICATIVA DA AMBIGUIDADE:
Nível 0. O enunciado fornece informações suficientes para analisar as dependências. As iterações referentes a diferentes linhas ou colunas escrevem em posições distintas de c, e os valores de a e b são apenas lidos. Portanto, há uma alternativa claramente determinada.</t>
  </si>
  <si>
    <t>JUSTIFICATIVA DOS DISTRATORES:
Nível 1. Os distratores são moderados. As alternativas A, B, C e D exploram possíveis erros na identificação de quais níveis dos laços podem ser paralelizados. Podem parecer plausíveis para quem confunde paralelismo com a existência de uma dependência entre as operações, mas a análise das posições distintas de c[i,j] permite eliminá-los.</t>
  </si>
  <si>
    <t>Programação Concorrente e Paralela</t>
  </si>
  <si>
    <t>Paralelização de Laços e Ausência de Condição de Corrida</t>
  </si>
  <si>
    <t>JUSTIFICATIVA DA RESPOSTA:A computação de cada elemento $c[i, j]$ na multiplicação de matrizes é completamente independente da computação de qualquer outro elemento $c[m, n]$. Por essa razão, o problema é classificado como "embaraçosamente paralelo" (afirmativa I verdadeira).Ao substituir o laço da linha 1 por co (afirmativa II), criam-se $n$ processos, cada um responsável por calcular uma linha completa da matriz $c$. Como o processo $i$ escreve apenas na linha $i$ de $c$ e apenas lê as matrizes $a$ e $b$, não há condição de corrida.Ao substituir o laço da linha 2 por co (afirmativa III), a cada iteração do laço $i$, criam-se $n$ processos concorrentes para calcular as colunas $j$. Cada processo escreve estritamente no elemento $c[i, j]$, também garantindo ausência de condição de corrida.Ao substituir ambos os laços das linhas 1 e 2 por co (afirmativa IV), são criados $n^2$ processos concorrentes, cada um encarregado de calcular uma única célula $c[i, j]$. O acoplamento de escrita permanece totalmente disjunto na matriz $c$.Como todas as substituições mantêm a correção semáfora/memória e reduzem o tempo de execução sequencial em hardware multiprocessador com memória compartilhada, todas as afirmativas (I, II, III e IV) estão corretas.</t>
  </si>
  <si>
    <t>ANÁLISE DAS ALTERNATIVAS:A:Incorreta. A afirmativa IV também é verdadeira, pois a paralelização nos dois níveis de laço ($i$ e $j$) gera $n^2$ tarefas independentes que escrevem em posições de memória distintas em $c$, mantendo a corretude do resultado final e acelerando o processamento.B:Incorreta. A afirmativa III também é verdadeira, pois paralelizar o laço interno $j$ gera $n$ processos concorrentes a cada iteração de $i$, todos acessando posições $c[i, j]$ distintas sem risco de sobreescrita de dados.C:Incorreta. A afirmativa II também é verdadeira, visto que dividir o trabalho por linhas (substituindo o laço $i$ por co) atribui tarefas totalmente independentes para cada processo.D:Incorreta. A afirmativa I é verdadeira, pois descreve com precisão a definição técnica de um problema embaraçosamente paralelo devido à ausência de dependência de dados entre as sub-tarefas.E:Correta. Todas as quatro afirmativas são verdadeiras, justificando plenamente a escolha dessa alternativa.</t>
  </si>
  <si>
    <t>JUSTIFICATIVA DA AMBIGUIDADE:
Atribuiu-se nível 0 (Sem ambiguidade) porque o enunciado define claramente o funcionamento do construto concorrente co e as afirmativas avaliam cenários clássicos e bem delimitados de paralelização de laços sem dependência de dados na escrita.</t>
  </si>
  <si>
    <t>JUSTIFICATIVA DOS DISTRATORES:
Atribuiu-se nível 1 (Distratores moderados). Os distratores são plausíveis porque estudantes podem hesitar se a paralelização em laços mais internos (linha 2) ou aninhados (linhas 1 e 2 juntas) introduziria concorrência indevida ou overhead que invalidasse a afirmativa, embora a análise de acesso à memória confirme a ausência de condições de corrida em todos esses casos.</t>
  </si>
  <si>
    <t>Computação Paralela</t>
  </si>
  <si>
    <t>Paralelização de algoritmos (multiplicação de matrizes) e construtos concorrentes (comando "co")</t>
  </si>
  <si>
    <t>JUSTIFICATIVA DA RESPOSTA:
A multiplicação de matrizes é um problema classicamente "embaraçosamente paralelo": cada elemento c[i,j] é calculado de forma totalmente independente dos demais elementos de c, pois seu cálculo depende apenas das linhas/colunas correspondentes de a e b, e não de outros valores de c. Isso torna I correta. Analisando as substituições de "for" por "co":
Trocar a linha 1 (laço em i) por "co" faz com que n processos concorrentes sejam criados, cada um responsável por uma linha i completa de c. Como cada processo escreve apenas nas posições c[i, *], não há concorrência de escrita entre processos (não há "race condition"), e o resultado permanece correto, com potencial ganho de tempo (II correta).
Trocar a linha 2 (laço em j) por "co", mantendo o laço em i sequencial, faz com que, para cada i (processado sequencialmente), sejam criados n processos concorrentes, cada um responsável por um elemento c[i,j] fixo. Novamente, cada processo escreve em uma posição distinta de c, sem conflito, e o resultado é correto. Embora a paralelização seja "parcial" (apenas dentro de cada i), ainda há redução do tempo total em relação à versão totalmente sequencial (III correta).
Trocar ambos os laços (linhas 1 e 2) por "co" cria uma estrutura de concorrência aninhada, resultando em n × n processos, cada um responsável por exatamente um elemento c[i,j], mantendo o laço em k sequencial dentro de cada processo. Como cada processo escreve em uma posição única de c, não há conflitos de escrita, o resultado é correto e o tempo de execução é reduzido (IV correta).
Como todas as afirmações (I, II, III e IV) são verdadeiras, a alternativa correta é E.</t>
  </si>
  <si>
    <t>ANÁLISE DAS ALTERNATIVAS:
A:
Incorreta. Omite a afirmação IV, que também é verdadeira, pois a paralelização de ambos os laços (i e j) também produz resultados corretos e mais rápidos.
B:
Incorreta. Omite a afirmação III, que também é verdadeira, já que a paralelização apenas do laço interno (j), mantendo i sequencial, também gera resultados corretos e ganho de desempenho.
C:
Incorreta. Omite a afirmação II, que é verdadeira: paralelizar apenas o laço externo (i) é uma estratégia válida e comum de paralelização (uma linha por processo), preservando a correção dos resultados.
D:
Incorreta. Omite a afirmação I. Embora II, III e IV sejam corretas, o problema de multiplicação de matrizes é de fato um exemplo clássico de problema "embaraçosamente paralelo", tornando I também verdadeira.
E:
Correta. Todas as quatro afirmações são verdadeiras, pelos motivos detalhados na justificativa da resposta.</t>
  </si>
  <si>
    <t>JUSTIFICATIVA DA AMBIGUIDADE:
O enunciado define claramente a semântica do comando "co" e fornece o código sequencial completo, permitindo analisar com precisão cada substituição proposta. Não há ambiguidade quanto à existência ou não de dependências de dados entre os elementos de c, nem quanto ao comportamento do "co". Todas as afirmações podem ser avaliadas de forma determinística com base no enunciado.</t>
  </si>
  <si>
    <t>JUSTIFICATIVA DOS DISTRATORES:
As alternativas A, B, C e D são distratores moderados, pois cada uma omite exatamente uma das quatro afirmações verdadeiras, exigindo que o candidato analise cuidadosamente cada uma das quatro afirmações (I a IV) separadamente, em vez de aplicar um raciocínio único a todas. Isso é especialmente relevante para III e IV, que exigem entendimento mais fino sobre paralelização aninhada e paralelização parcial (apenas do laço interno), podendo induzir a erro quem acredita, por exemplo, que apenas paralelizar o laço externo (i) seja "a" forma correta de paralelizar, descartando indevidamente III ou IV.</t>
  </si>
  <si>
    <t>Sistemas Operacionais</t>
  </si>
  <si>
    <t>Processos, threads e execução multitarefa/multicore</t>
  </si>
  <si>
    <t>JUSTIFICATIVA DA RESPOSTA:
A alternativa A é a única que pode ser considerada correta caso a afirmação I seja interpretada no sentido didático de que processos e threads possuem um ciclo de vida composto por estados análogos, como criação, execução, bloqueio e término.
As demais afirmações são incorretas:
Threads de processos diferentes, em condições normais, não compartilham diretamente o mesmo espaço de memória, pois processos possuem espaços de endereçamento independentes.
Programas multithread podem ser executados em processadores de um único núcleo, mediante escalonamento e alternância entre threads.
Uma thread pertence a um processo durante sua existência e não pode simplesmente migrar de um processo para outro.
Entretanto, há um problema importante na questão: se "ciclos de vida ... são idênticos" for interpretado literalmente, a afirmação I também é incorreta, pois processo e thread são entidades distintas e possuem características de gerenciamento diferentes. Nesse caso, nenhuma das alternativas apresentadas seria correta. Portanto, A é a alternativa que melhor corresponde à interpretação didática aparentemente pretendida, mas a questão apresenta inconsistência técnica.</t>
  </si>
  <si>
    <t>ANÁLISE DAS ALTERNATIVAS:
A:
É a alternativa escolhida. Ela considera apenas a afirmação I como correta. Processos e threads podem ser descritos por estados de execução semelhantes — criação, pronto, execução, bloqueio e término —, o que provavelmente fundamenta a afirmação. Contudo, o termo "idênticos" torna a afirmação tecnicamente discutível.
B:
Incorreta. Threads pertencentes a processos diferentes normalmente possuem espaços de memória separados. Threads de um mesmo processo compartilham o espaço de endereçamento e recursos desse processo.
C:
Incorreta. A afirmação III é falsa. Um processador single-core também pode executar programas multithread, alternando a execução das threads por meio do escalonamento. Processadores multi-core permitem paralelismo físico entre threads, mas não são requisito para a existência ou execução de programas multithread.
D:
Incorreta. A afirmação IV é falsa. Uma thread está associada ao processo ao qual pertence. O sistema operacional pode escalonar a thread em diferentes núcleos ou processadores, mas isso não significa migrá-la de um processo para outro.
E:
Incorreta. A afirmação II é falsa, pois processos diferentes normalmente possuem espaços de memória independentes. Além disso, a afirmação IV também é falsa.</t>
  </si>
  <si>
    <t>JUSTIFICATIVA DA AMBIGUIDADE:
Nível 2. A afirmação I utiliza o termo "idênticos", que é tecnicamente problemático. Embora processos e threads possam apresentar estados de ciclo de vida semelhantes, seus ciclos de vida não são literalmente idênticos em todos os aspectos. Se I for considerada falsa, então I, II, III e IV seriam falsas, e nenhuma alternativa corresponderia à resposta correta. Assim, existe uma inconsistência relevante entre o conteúdo técnico e as alternativas oferecidas.</t>
  </si>
  <si>
    <t>JUSTIFICATIVA DOS DISTRATORES:
Nível 2. Os distratores são fortes porque as afirmações II, III e IV envolvem conceitos próximos e frequentemente confundidos: compartilhamento de memória entre processos e threads, multithreading versus multicore e escalonamento de threads versus mudança de processo. Especialmente III pode parecer plausível para quem associa multithreading diretamente à existência de múltiplos núcleos. A própria I também funciona como um ponto de dúvida conceitual devido ao uso de "idênticos".</t>
  </si>
  <si>
    <t>Processos, Threads e Escalabilidade de CPU</t>
  </si>
  <si>
    <t>JUSTIFICATIVA DA RESPOSTA:
Apenas a afirmação I pode ser considerada correta no contexto do modelo de escalonamento e gerenciamento de estados de execução do sistema operacional. Tanto os processos quanto as threads compartilham a mesma estrutura teórica de ciclo de vida (diagrama de transições de estados: Novo/Criação, Pronto, Em Execução, Bloqueado/Espera e Terminado).
As demais afirmações contêm erros conceituais fundamentais:
Afirmação II: O compartilhamento de memória (heap, variáveis globais, código) ocorre entre threads pertencentes ao mesmo processo. Threads de processos diferentes possuem espaços de endereçamento isolados protegidos pela memória virtual do SO.
Afirmação III: Processadores de núcleo único (uniprocessadores) são plenamente capazes de executar aplicações multi-threaded por meio de alternância de contexto e fatiamento de tempo (concorrência/pseudoparalelismo). O hardware multi-core permite paralelismo real, mas não é pré-requisito para o suporte a threads.
Afirmação IV: Uma thread está vinculada ao espaço de endereçamento e ao contexto do seu processo criador; ela não possui capacidade de migrar entre processos distintos.</t>
  </si>
  <si>
    <t>ANÁLISE DAS ALTERNATIVAS:
A: Correta. A afirmação I é a única verdadeira, pois os estados e as transições que compõem o ciclo de vida de uma thread no escalador do sistema operacional correspondem aos mesmos estágios do ciclo de vida de um processo.
B: Incorreta. A afirmação II é falsa, pois o compartilhamento de memória ocorre internamente entre threads do mesmo processo, e não entre threads de processos distintos.
C: Incorreta. A afirmação III é falsa, pois sistemas com um único núcleo de processamento executam programas multi-threads por meio de concorrência e divisão de tempo de CPU.
D: Incorreta. A afirmação IV é falsa, pois uma thread é estritamente associada ao processo que a originou e não pode migrar para a estrutura de outro processo.
E: Incorreta. Tanto a afirmação II quanto a afirmação IV são falsas, conforme detalhado nas análises individuais.</t>
  </si>
  <si>
    <t>JUSTIFICATIVA DA AMBIGUIDADE:
Atribuiu-se nível 1 (ambiguidade menor) devido ao termo "ciclos de vida idênticos" na afirmação I. Embora os estados do ciclo de vida (Pronto, Executando, Bloqueado, etc.) sigam o mesmo modelo de máquina de estados, a destruição do processo pai afeta sumariamente suas threads, o que poderia levar o candidato a questionar a palavra "idênticos". No entanto, a análise sistemática das incorreções gritantes nos itens II, III e IV permite deduzir a alternativa A sem sobressaltos.</t>
  </si>
  <si>
    <t>JUSTIFICATIVA DOS DISTRATORES:
Atribuiu-se nível 1 (distratores moderados). A afirmação II funciona como o principal distrator, pois explora a desatenção do candidato ao trocar a expressão "mesmo processo" por "diferentes processos". As afirmações III e IV são distratores fracos para quem domina os fundamentos de arquitetura de computadores e sistemas operacionais.</t>
  </si>
  <si>
    <t>Processos e Threads</t>
  </si>
  <si>
    <t>JUSTIFICATIVA DA RESPOSTA:
Na literatura clássica de Sistemas Operacionais, tanto processos quanto threads são modelados através de um conjunto equivalente de estados (novo, pronto/apto à execução, em execução, bloqueado/em espera e terminado), com transições análogas entre esses estados. Por isso, afirma-se que o ciclo de vida de threads "espelha" ou é essencialmente idêntico ao de processos, apenas aplicado a uma unidade de execução mais leve. As demais afirmações contêm erros conceituais: threads de processos diferentes não compartilham memória (o compartilhamento de memória ocorre entre threads de um mesmo processo); processadores single-core também executam programas multi-thread, por meio de escalonamento/chaveamento de contexto (apenas não o fazem em paralelo real); e uma thread é uma entidade pertencente a um processo específico, não podendo migrar para outro processo, pois isso romperia o modelo de espaço de endereçamento e contexto de execução ao qual está associada.</t>
  </si>
  <si>
    <t>ANÁLISE DAS ALTERNATIVAS:
A:
Correta. Apenas a afirmação I está correta, pois threads e processos possuem modelos de ciclo de vida (estados e transições) essencialmente idênticos nos sistemas operacionais modernos.
B:
Incorreta. A afirmação II é falsa, pois o compartilhamento de memória ocorre entre threads de um MESMO processo, não entre threads de processos diferentes.
C:
Incorreta. Inclui a afirmação III, que é falsa: processadores single-core também executam programas multi-thread via escalonamento por tempo compartilhado (time-slicing), apenas sem paralelismo real simultâneo.
D:
Incorreta. Inclui a afirmação IV, que é falsa: threads pertencem a um processo específico (compartilham seu espaço de endereçamento e recursos) e não podem migrar de um processo para outro.
E:
Incorreta. Ambas as afirmações II e IV são falsas, pelos motivos já expostos.</t>
  </si>
  <si>
    <t>JUSTIFICATIVA DA AMBIGUIDADE:
Atribuo nível 1 porque a afirmação I depende de uma interpretação conceitual específica (a analogia entre os diagramas de estados de processos e threads, adotada por autores como Silberschatz), o que pode gerar alguma dúvida para quem interprete "ciclos de vida idênticos" de forma mais literal (por exemplo, considerando que o ciclo de vida da thread está subordinado ao do processo que a contém, o que não seria estritamente "idêntico"). Ainda assim, é possível identificar uma alternativa claramente mais adequada frente às demais, todas objetivamente incorretas.</t>
  </si>
  <si>
    <t>JUSTIFICATIVA DOS DISTRATORES:
Atribuo nível 2 porque as alternativas C, D e E combinam a afirmação correta (I) ou incorreta com afirmações que usam conceitos corretos em contextos equivocados — por exemplo, a ideia de compartilhamento de memória entre threads (II) é um conceito verdadeiro sobre threads em geral, mas aplicado incorretamente a processos distintos; da mesma forma, a relação entre multi-core e multithreading (III) é um tema real de paralelismo, mas a afirmação inverte a relação de necessidade. Isso exige do candidato análise cuidadosa e conhecimento técnico preciso para descartar tais alternativas.</t>
  </si>
  <si>
    <t>Escopo e vinculação de variáveis</t>
  </si>
  <si>
    <t>Escopo dinâmico, verificação estática de tipos e polimorfismo</t>
  </si>
  <si>
    <t>JUSTIFICATIVA DA RESPOSTA:
A alternativa correta é D) II e III.
O ponto central é a incompatibilidade entre escopo dinâmico e a intenção de realizar verificação estática de tipos sem informações suficientes sobre a variável que será efetivamente encontrada durante a execução.
Na vinculação dinâmica, uma variável não local é determinada de acordo com a ordem de execução. Portanto, quando um subprograma referencia uma variável dinâmica, a variável efetivamente utilizada pode ser proveniente de diferentes contextos de chamada.
A afirmação II é correta porque, se diferentes subprogramas puderem declarar variáveis com o mesmo nome e tipos diferentes, uma referência dinâmica poderá potencialmente corresponder a variáveis de tipos distintos. Para manter a verificação de tipos em tempo de compilação, é necessário algum mecanismo que permita tratar essas diferentes possibilidades, como o polimorfismo de tipos.
A afirmação III também é correta. Se a linguagem exigir que a variável dinâmica seja declarada tanto no escopo em que é criada quanto nos subprogramas que podem referenciá-la, com a indicação explícita de que possui escopo dinâmico, o compilador terá informações suficientes para verificar as possibilidades de tipos envolvidas durante a compilação.
A afirmação I é incorreta. Embora variáveis dinâmicas possam ser conceitualmente relacionadas a parâmetros implícitos, isso não significa que o compilador possa simplesmente determinar um único tipo para elas e, com isso, eliminar a necessidade de polimorfismo. Justamente porque a vinculação ocorre em tempo de execução, diferentes variáveis com o mesmo identificador podem participar da referência.</t>
  </si>
  <si>
    <t>ANÁLISE DAS ALTERNATIVAS:
A:
Incorreta. A afirmação I é incorreta. A possibilidade de tratar conceitualmente variáveis dinâmicas como parâmetros implícitos não elimina a questão de que diferentes variáveis podem possuir tipos diferentes. Portanto, não se pode concluir que o polimorfismo seja desnecessário.
B:
Incorreta. A afirmação II está correta, mas a III também está correta. Portanto, não é correto afirmar que apenas II seja verdadeira.
C:
Incorreta. A afirmação III está correta, mas I está incorreta. Logo, a combinação I e III não corresponde às afirmações verdadeiras.
D:
Correta. As afirmações II e III são verdadeiras, enquanto a I é falsa.
E:
Incorreta. A afirmação I não é verdadeira. Consequentemente, não podem ser consideradas corretas as três afirmações simultaneamente.</t>
  </si>
  <si>
    <t>JUSTIFICATIVA DA AMBIGUIDADE:
0 = Sem ambiguidade. O enunciado fornece informações suficientes para distinguir as consequências do escopo dinâmico sobre a verificação estática de tipos. As afirmações II e III podem ser avaliadas de forma consistente a partir dos conceitos apresentados.</t>
  </si>
  <si>
    <t>JUSTIFICATIVA DOS DISTRATORES:
2 = Distratores fortes. A alternativa E é o principal distrator, pois reúne II e III, que são plausíveis, com a afirmação I. A I pode parecer correta por associar variáveis dinâmicas a parâmetros implícitos e à verificação em compilação, mas ignora o problema fundamental da possibilidade de diferentes tipos para uma mesma referência dinâmica. As alternativas B e C também utilizam combinações parcialmente corretas, exigindo a análise individual das três afirmações.</t>
  </si>
  <si>
    <t>Linguagens de Programação</t>
  </si>
  <si>
    <t>Escopo Dinâmico e Verificação Estática de Tipos</t>
  </si>
  <si>
    <t>JUSTIFICATIVA DA RESPOSTA:
A análise individual das afirmações revela:
Afirmação I (Incorreta): Se o compilador passasse variáveis dinâmicas não declaradas como parâmetros implícitos para subprogramas, o mesmo subprograma poderia receber argumentos de tipos diferentes dependendo da cadeia de chamadas em tempo de execução. Para que um subprograma aceite argumentos de múltiplos tipos mantendo a verificação estática, a linguagem precisa suportar polimorfismo de tipos (ou sobrecarga/monomorfização). Portanto, tal mecanismo não elimina a necessidade de polimorfismo, mas sim a exige.
Afirmação II (Correta): Quando diferentes subprogramas definem uma variável de escopo dinâmico de mesmo nome com tipos distintos e o subprograma chamado a referencia sem declarar localmente o tipo esperado, o subprograma precisa operar sobre múltiplos tipos possíveis. Para manter a verificação estática de tipos nesse cenário, a linguagem deve obrigatoriamente suportar polimorfismo.
Afirmação III (Correta): Como a linguagem exige a compilação integral do programa (o compilador possui visibilidade do grafo de chamadas completo) e os tipos das variáveis dinâmicas são explicitamente declarados tanto no escopo de criação quanto no de referência, o compilador pode checar estaticamente se o tipo fornecido pelos chamadores corresponde ao tipo esperado no subprograma em todos os caminhos de execução possíveis.
Logo, apenas as afirmações II e III estão corretas.</t>
  </si>
  <si>
    <t>ANÁLISE DAS ALTERNATIVAS:
A:
Incorreta. A afirmação I é falsa, pois tratar variáveis dinâmicas como parâmetros implícitos não-tipados exige suporte a polimorfismo de tipos para realizar verificação estática.
B:
Incorreta. A afirmação II é verdadeira, porém a opção omite a afirmação III, que também é verdadeira devido à compilação integral e à declaração explícita de tipos nos dois escopos.
C:
Incorreta. Contém a afirmação I, que é conceitualmente incorreta.
D:
Correta. Identifica adequadamente que apenas as afirmações II e III são verdadeiras.
E:
Incorreta. Considera a afirmação I verdadeira, o que é um erro conceitual.</t>
  </si>
  <si>
    <t>JUSTIFICATIVA DA AMBIGUIDADE:
Nível 0: A questão é clara e fornece todas as premissas necessárias (compilação integral, verificação estática, passagem por valor) para deduzir rigorosamente o comportamento do sistema de tipos sob escopo dinâmico.</t>
  </si>
  <si>
    <t>JUSTIFICATIVA DOS DISTRATORES:
Nível 1: A afirmação I atua como o principal distrator ao sugerir que a conversão de variáveis em parâmetros eliminaria o polimorfismo, o que pode parecer plausível à primeira vista, mas revela-se falso sob a análise do sistema de tipos.</t>
  </si>
  <si>
    <t>Linguagens de programação</t>
  </si>
  <si>
    <t>Escopo dinâmico, vinculação de tipos e verificação estática</t>
  </si>
  <si>
    <t>JUSTIFICATIVA DA RESPOSTA:
O cerne do problema é que, numa linguagem com verificação estática de tipos, a introdução de escopo dinâmico só é compatível com checagem de tipos em tempo de compilação se o compilador tiver, em cada ponto de uso, informação suficiente sobre o tipo da variável não-local que será efetivamente vinculada em tempo de execução. Como o enunciado já deixa claro que um mesmo identificador pode se referir, em diferentes momentos da execução, a variáveis distintas (possivelmente com tipos distintos, conforme afirma II), a única forma de garantir verificação completa de tipos em compilação é exigir declaração explícita da variável dinâmica tanto no escopo onde ela é criada quanto no(s) subprograma(s) onde é referenciada, com marcação explícita de que se trata de uma variável de escopo dinâmico (III). Isso permite ao compilador, dado que a linguagem exige compilação integral do programa (sem compilação separada de bibliotecas), enxergar todas as declarações e usos e comparar tipos estaticamente, sem lacunas. Sem essa declaração explícita (cenário de I), o compilador não tem como saber a priori qual tipo estará de fato vinculado a cada uso — dado que subprogramas diferentes podem declarar variáveis de mesmo nome com tipos diferentes —, de modo que, para preservar segurança de tipos, seria necessário tratar o identificador de forma genérica/polimórfica (II), e não eliminar o polimorfismo como afirma I. Logo, I é falsa, e II e III são verdadeiras, levando à alternativa D.</t>
  </si>
  <si>
    <t>ANÁLISE DAS ALTERNATIVAS:
A:
Incorreta. A afirmação I inverte a relação lógica: tratar as variáveis dinâmicas como parâmetros implícitos, sem que o programador as declare ou tipifique, não elimina a necessidade de polimorfismo — pelo contrário, cria a necessidade dele, pois o compilador teria que lidar com um mesmo identificador podendo ser vinculado a variáveis de tipos diferentes conforme o caminho de execução, o que é exatamente o cenário descrito (e corretamente tratado) em II.
B:
Incorreta (embora II seja uma afirmação correta isoladamente, a alternativa B exclui III, que também está correta). A alternativa B seria correta apenas se III fosse falsa, mas III está correta pelos motivos expostos.
C:
Incorreta. Inclui I, que é falsa pelo argumento acima, e omite II, que é verdadeira. É um distrator forte porque a ideia de "tratar variável dinâmica como parâmetro implícito, com o compilador inferindo automaticamente" soa plausível e tecnicamente elegante à primeira vista, mas não sustenta a alegação de que isso permite eliminar polimorfismo e ainda assim garantir checagem estática de tipos sem qualquer declaração.
D:
Correta. II está correta porque, na ausência de declaração explícita da variável dinâmica no escopo de referência, a coexistência de variáveis homônimas com tipos diferentes em diferentes subprogramas exige suporte a polimorfismo de tipos para preservar a segurança de tipos. III está correta porque, com declaração explícita em ambos os pontos (criação e uso) e marcação de escopo dinâmico, e dado que a compilação é sempre integral (todo o programa é visto de uma vez, sem separação de bibliotecas), o compilador dispõe de informação completa para checar a compatibilidade de tipos em todos os pontos de vinculação possíveis, detectando todos os erros de tipo estaticamente.
E:
Incorreta. Inclui I, que é falsa, junto de II e III, que são corretas; portanto E vai além do que pode ser sustentado.</t>
  </si>
  <si>
    <t>JUSTIFICATIVA DA AMBIGUIDADE:
Atribuí nível 1 porque a expressão "declarar seu tipo" em I e a expressão "identificar todos os erros de tipo" em III exigem uma interpretação técnica precisa (o que conta como "declaração suficiente" para viabilizar checagem estática completa) que não é trivialmente evidente a partir do enunciado isoladamente, embora, após essa interpretação técnica padrão da literatura de linguagens de programação, exista uma alternativa claramente superior.</t>
  </si>
  <si>
    <t>JUSTIFICATIVA DOS DISTRATORES:
Atribuí nível 2 porque a alternativa C (I e III) é um distrator conceitualmente muito próximo da resposta correta: a afirmação I usa terminologia técnica correta (parâmetros implícitos, ausência de necessidade de declaração pelo programador) de forma sedutora, mas inverte a conclusão lógica sobre a necessidade de polimorfismo, exigindo do candidato uma análise cuidadosa da relação entre ausência de declaração, homonímia de variáveis com tipos diferentes e a real necessidade de polimorfismo para não cometer o engano de aceitar I como verdadeira.</t>
  </si>
  <si>
    <t>Tipos Abstratos de Dados (TAD)</t>
  </si>
  <si>
    <t>Especificação, encapsulamento, composição, herança e subtipagem</t>
  </si>
  <si>
    <t>JUSTIFICATIVA DA RESPOSTA:
A alternativa D (II e IV) é a correta.
A afirmação II está correta porque, em linguagens orientadas a objetos, composição e herança podem ser utilizadas como mecanismos para construir e implementar tipos, inclusive estruturas que realizam as operações de um TAD.
A afirmação IV também está correta. Um dos principais benefícios dos TADs é o encapsulamento, pois a implementação interna dos dados pode ser ocultada, permitindo que os usuários do tipo interajam com ele por meio de uma interface de operações.
A afirmação I está incorreta porque confunde especificação com implementação. A especificação de um TAD define essencialmente quais operações são oferecidas e o comportamento esperado dessas operações, enquanto a representação interna e a implementação pertencem à realização do TAD.
A afirmação III descreve o princípio de substituição de subtipos: se S é subtipo de T, objetos de S podem ser utilizados onde objetos de T são esperados. Entretanto, essa propriedade está relacionada especificamente à subtipagem, e não constitui uma característica ou efeito próprio da definição de TAD apresentada na questão.</t>
  </si>
  <si>
    <t>ANÁLISE DAS ALTERNATIVAS:
A:
Incorreta. A afirmação I é falsa, pois representação interna e implementação não fazem parte da especificação abstrata do TAD. Elas dizem respeito à implementação/concretização do tipo.
B:
Incorreta. Embora a afirmação II esteja correta, a alternativa não contempla a afirmação IV, que também está correta.
C:
Incorreta. A afirmação I está incorreta. Além disso, a III descreve substituição de subtipos, não sendo suficiente para caracterizar a alternativa como correta.
D:
Correta. As afirmações II e IV estão corretas: composição e herança podem ser utilizadas na implementação de tipos em orientação a objetos, e o encapsulamento é um benefício associado aos TADs.
E:
Incorreta. A afirmação IV está correta, mas a III não é uma propriedade específica dos TADs que justifique essa combinação. A afirmação II, por sua vez, é correta e foi omitida.</t>
  </si>
  <si>
    <t>JUSTIFICATIVA DA AMBIGUIDADE:
0 — Sem ambiguidade. As afirmações permitem distinguir claramente especificação de implementação e identificar os conceitos de composição, herança, subtipagem e encapsulamento. A combinação correta é determinada de forma consistente pela alternativa D.</t>
  </si>
  <si>
    <t>JUSTIFICATIVA DOS DISTRATORES:
2 — Distratores fortes. A alternativa C é particularmente plausível porque a afirmação III está tecnicamente correta como princípio de substituição de subtipos, mas isso não torna a combinação correta no contexto da questão. A afirmação I também pode parecer correta à primeira leitura porque o enunciado inicial menciona representação e implementação, exigindo atenção à diferença entre especificação e implementação.</t>
  </si>
  <si>
    <t>Estruturas de Dados e Programação Orientada a Objetos</t>
  </si>
  <si>
    <t>Tipos Abstratos de Dados (TAD) e Princípios de Subtipagem</t>
  </si>
  <si>
    <t>JUSTIFICATIVA DA RESPOSTA:
A especificação de um Tipo Abstrato de Dados (TAD) define apenas a interface (as operações permitidas e seu comportamento), ocultando deliberadamente os detalhes de representação interna dos dados e a implementação das operações. Por isso, a afirmativa I é incorreta. A afirmativa II é correta, pois composição e herança são mecanismos fundamentais da Programação Orientada a Objetos (POO) utilizados para construir e reutilizar a implementação de TADs. A afirmativa III é incorreta porque inverte a regra do Princípio de Substituição de Liskov: se S é um subtipo de T, então instâncias do tipo T (supertipo) podem ser substituídas por instâncias do tipo S (subtipo), e não o contrário. A afirmativa IV é correta, pois a ocultação de informação e o encapsulamento são vantagens centrais obtidas ao se isolar a especificação de um TAD de sua implementação. Portanto, apenas as afirmações II e IV são corretas.</t>
  </si>
  <si>
    <t>ANÁLISE DAS ALTERNATIVAS:
A:
Incorreta. A afirmação I confunde a especificação de um TAD com a sua implementação. A especificação limita-se a definir quais operações existem e como elas se comportam abstratamente, deixando a representação interna e o código de implementação a cargo da fase de implementação.
B:
Incorreta. Embora a afirmação II seja verdadeira, a alternativa omite a afirmação IV, que também é correta, pois o encapsulamento é uma das principais vantagens do uso de TADs.
C:
Incorreta. Ambas as afirmações I e III são falsas. A afirmação I confunde especificação com implementação, e a afirmação III inverte a direção da substituibilidade por subtipagem.
D:
Correta. As afirmações II e IV são as únicas verdadeiras. A composição e a herança servem para implementar TADs em POO (II), e o encapsulamento é um benefício direto proveniente da abstração de dados (IV).
E:
Incorreta. A afirmação III é falsa, pois inverte o Princípio de Substituição de Liskov (entidades do supertipo T é que podem ser substituídas por entidades do subtipo S). A afirmação IV é verdadeira.</t>
  </si>
  <si>
    <t>JUSTIFICATIVA DA AMBIGUIDADE:
Atribuiu-se nível 0 (Sem ambiguidade) porque as definições de especificação versus implementação de TADs e as regras de substituibilidade de tipos em linguagens orientadas a objetos são precisas e consagradas na literatura teórica da ciência da computação, permitindo eleger a alternativa D de maneira unívoca.</t>
  </si>
  <si>
    <t>JUSTIFICATIVA DOS DISTRATORES:
Atribuiu-se nível 2 (Distratores fortes) porque a afirmativa I aproveita a redação confusa do próprio texto introdutório da questão para induzir ao erro, enquanto a afirmativa III aplica uma inversão sutil da regra de substituibilidade de Liskov, sendo um distrator muito eficiente para leitores desatentos.</t>
  </si>
  <si>
    <t>Especificação, implementação, encapsulamento e mecanismos de reuso em linguagens orientadas a objetos</t>
  </si>
  <si>
    <t>JUSTIFICATIVA DA RESPOSTA:
A distinção fundamental em TADs é entre "especificação" (o quê o tipo faz: assinatura e semântica das operações) e "implementação" (como o tipo faz: representação interna dos dados e algoritmos concretos). Essa separação é justamente o que sustenta o princípio de abstração/encapsulamento em TADs: o usuário do tipo conhece apenas a interface (especificação), enquanto a representação e a implementação ficam ocultas e podem variar sem afetar o código cliente. Assim, afirmar que a "especificação" inclui a representação interna e a implementação (afirmação I) confunde especificação com implementação, sendo tecnicamente incorreto, apesar de o texto introdutório empregar uma redação mais solta que aproxima os dois conceitos. A afirmação III inverte a direção do Princípio da Substituição de Liskov: se S é subtipo de T, são as entidades do tipo S que devem poder substituir entidades do tipo T (e não o contrário), pois o subtipo deve poder ser usado em qualquer contexto que espera o supertipo, preservando o comportamento correto do programa. Já as afirmações II e IV estão corretas: composição e herança são, de fato, mecanismos amplamente usados em linguagens orientadas a objetos para implementar TADs (compondo objetos ou reaproveitando/estendendo comportamento via hierarquias de classes), e o encapsulamento é reconhecidamente um dos principais benefícios do uso de TADs, pois protege a integridade dos dados, reduz acoplamento e permite alterar a implementação sem impactar o código cliente. Portanto, apenas II e IV estão corretas, correspondendo à alternativa D.</t>
  </si>
  <si>
    <t>ANÁLISE DAS ALTERNATIVAS:
A:
Incorreta. Considera apenas a afirmação I como correta, mas, segundo a distinção rigorosa entre especificação e implementação de um TAD, a especificação deve conter apenas o comportamento das operações (a interface), não a representação interna nem os algoritmos de implementação — isso pertence à implementação do TAD, não à sua especificação abstrata.
B:
Incorreta. Embora a afirmação II esteja de fato correta, a alternativa desconsidera a afirmação IV, que também é verdadeira (o encapsulamento é um efeito positivo reconhecido do uso de TADs), tornando a alternativa incompleta.
C:
Incorreta. A afirmação I confunde especificação com implementação, como explicado, e a afirmação III inverte a direção correta do princípio de substituição: o subtipo (S) deve poder substituir o supertipo (T) nos contextos que esperam T, e não o inverso como o enunciado propõe. Essa alternativa é um distrator forte, pois I reproduz quase literalmente o texto introdutório da questão e III soa plausível por mencionar corretamente os termos "subtipo" e "substituição".
D:
Correta. II (composição e herança como mecanismos de implementação de TADs em linguagens OO) e IV (encapsulamento como efeito positivo do uso de TADs) são afirmações tecnicamente corretas e consistentes com a teoria de tipos abstratos de dados e programação orientada a objetos.
E:
Incorreta. A afirmação III está errada pela inversão da direção da substituição no princípio de Liskov, apesar de a afirmação IV estar correta. A combinação III e IV falha por conta do erro conceitual em III.</t>
  </si>
  <si>
    <t>JUSTIFICATIVA DA AMBIGUIDADE:
Atribuo nível 1 porque o texto introdutório da questão apresenta uma definição de "especificação" que já inclui representação interna e implementação, o que se aproxima do teor da afirmação I e pode gerar dúvida legítima em quem toma o enunciado introdutório como base literal. Ainda assim, a distinção clássica entre especificação (interface/comportamento) e implementação (representação/algoritmos) é um conceito estabelecido na literatura de linguagens de programação, permitindo identificar com razoável segurança a alternativa mais adequada por eliminação lógica das demais afirmações.</t>
  </si>
  <si>
    <t>JUSTIFICATIVA DOS DISTRATORES:
Atribuo nível 2 porque a alternativa C é um distrator particularmente forte: a afirmação I ecoa quase literalmente a redação do texto de apoio da questão, tornando-a tentadora para quem não distingue com precisão especificação de implementação; e a afirmação III utiliza corretamente a terminologia de subtipagem e substituição, mas inverte sutilmente a direção do princípio de Liskov, exigindo atenção cuidadosa para ser descartada.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</si>
</sst>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7">
    <font>
      <sz val="10.0"/>
      <color rgb="FF000000"/>
      <name val="Arial"/>
      <scheme val="minor"/>
    </font>
    <font>
      <color theme="1"/>
      <name val="Roboto"/>
    </font>
    <font>
      <color theme="1"/>
      <name val="Arial"/>
    </font>
    <font>
      <color rgb="FF434343"/>
      <name val="Roboto"/>
    </font>
    <font>
      <color rgb="FF473821"/>
      <name val="Arial"/>
    </font>
    <font>
      <color rgb="FFD4EDBC"/>
      <name val="Roboto"/>
    </font>
    <font>
      <color rgb="FF11734B"/>
      <name val="Arial"/>
    </font>
    <font>
      <color rgb="FF005A55"/>
      <name val="Arial"/>
    </font>
    <font>
      <color rgb="FF434343"/>
      <name val="Arial"/>
    </font>
    <font>
      <color rgb="FF0A53A8"/>
      <name val="Arial"/>
    </font>
    <font>
      <color rgb="FF2A4AB0"/>
      <name val="Arial"/>
    </font>
    <font>
      <color rgb="FF753800"/>
      <name val="Arial"/>
    </font>
    <font>
      <color rgb="FF753800"/>
      <name val="Roboto"/>
    </font>
    <font>
      <color rgb="FF11734B"/>
      <name val="Roboto"/>
    </font>
    <font>
      <color rgb="FF005A55"/>
      <name val="Roboto"/>
    </font>
    <font>
      <color rgb="FF0A53A8"/>
      <name val="Roboto"/>
    </font>
    <font>
      <color rgb="FF2A4AB0"/>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0">
    <border/>
    <border>
      <left style="thin">
        <color rgb="FF292F5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92F50"/>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FFFFF"/>
      </left>
      <right style="thin">
        <color rgb="FF292F50"/>
      </right>
      <top style="thin">
        <color rgb="FFFFFFFF"/>
      </top>
      <bottom style="thin">
        <color rgb="FFFFFFFF"/>
      </bottom>
    </border>
    <border>
      <left style="thin">
        <color rgb="FFF6F8F9"/>
      </left>
      <right style="thin">
        <color rgb="FF292F50"/>
      </right>
      <top style="thin">
        <color rgb="FFF6F8F9"/>
      </top>
      <bottom style="thin">
        <color rgb="FFF6F8F9"/>
      </bottom>
    </border>
    <border>
      <left style="thin">
        <color rgb="FF292F50"/>
      </left>
      <right style="thin">
        <color rgb="FFFFFFFF"/>
      </right>
      <top style="thin">
        <color rgb="FFFFFFFF"/>
      </top>
      <bottom style="thin">
        <color rgb="FF292F50"/>
      </bottom>
    </border>
    <border>
      <left style="thin">
        <color rgb="FFFFFFFF"/>
      </left>
      <right style="thin">
        <color rgb="FFFFFFFF"/>
      </right>
      <top style="thin">
        <color rgb="FFFFFFFF"/>
      </top>
      <bottom style="thin">
        <color rgb="FF292F50"/>
      </bottom>
    </border>
    <border>
      <left style="thin">
        <color rgb="FFFFFFFF"/>
      </left>
      <right style="thin">
        <color rgb="FF292F50"/>
      </right>
      <top style="thin">
        <color rgb="FFFFFFFF"/>
      </top>
      <bottom style="thin">
        <color rgb="FF292F5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vertical="bottom"/>
    </xf>
    <xf borderId="1" fillId="2" fontId="3" numFmtId="49" xfId="0" applyAlignment="1" applyBorder="1" applyFill="1" applyFont="1" applyNumberFormat="1">
      <alignment readingOrder="0" shrinkToFit="0" vertical="center" wrapText="0"/>
    </xf>
    <xf borderId="2" fillId="2" fontId="2" numFmtId="0" xfId="0" applyAlignment="1" applyBorder="1" applyFill="1" applyFont="1">
      <alignment readingOrder="0" shrinkToFit="0" vertical="center" wrapText="0"/>
    </xf>
    <xf borderId="3" fillId="2" fontId="3" numFmtId="49" xfId="0" applyAlignment="1" applyBorder="1" applyFill="1" applyFont="1" applyNumberFormat="1">
      <alignment shrinkToFit="0" vertical="center" wrapText="0"/>
    </xf>
    <xf borderId="2" fillId="2" fontId="2" numFmtId="49" xfId="0" applyAlignment="1" applyBorder="1" applyFill="1" applyFont="1" applyNumberFormat="1">
      <alignment readingOrder="0" shrinkToFit="0" vertical="center" wrapText="0"/>
    </xf>
    <xf borderId="4" fillId="2" fontId="3" numFmtId="49" xfId="0" applyAlignment="1" applyBorder="1" applyFill="1" applyFont="1" applyNumberFormat="1">
      <alignment shrinkToFit="0" vertical="center" wrapText="0"/>
    </xf>
    <xf borderId="5" fillId="2" fontId="4" numFmtId="0" xfId="0" applyAlignment="1" applyBorder="1" applyFill="1" applyFont="1">
      <alignment shrinkToFit="0" vertical="center" wrapText="0"/>
    </xf>
    <xf borderId="4" fillId="2" fontId="3" numFmtId="0" xfId="0" applyAlignment="1" applyBorder="1" applyFill="1" applyFont="1">
      <alignment shrinkToFit="0" vertical="center" wrapText="0"/>
    </xf>
    <xf borderId="4" fillId="2" fontId="3" numFmtId="164" xfId="0" applyAlignment="1" applyBorder="1" applyFill="1" applyFont="1" applyNumberFormat="1">
      <alignment horizontal="right" shrinkToFit="0" vertical="center" wrapText="0"/>
    </xf>
    <xf borderId="4" fillId="2" fontId="5" numFmtId="0" xfId="0" applyAlignment="1" applyBorder="1" applyFill="1" applyFont="1">
      <alignment shrinkToFit="0" vertical="center" wrapText="0"/>
    </xf>
    <xf borderId="2" fillId="2" fontId="6" numFmtId="0" xfId="0" applyAlignment="1" applyBorder="1" applyFill="1" applyFont="1">
      <alignment shrinkToFit="0" vertical="center" wrapText="0"/>
    </xf>
    <xf borderId="6" fillId="2" fontId="3" numFmtId="0" xfId="0" applyAlignment="1" applyBorder="1" applyFill="1" applyFont="1">
      <alignment shrinkToFit="0" vertical="center" wrapText="0"/>
    </xf>
    <xf borderId="3" fillId="3" fontId="3" numFmtId="49" xfId="0" applyAlignment="1" applyBorder="1" applyFill="1" applyFont="1" applyNumberFormat="1">
      <alignment readingOrder="0" shrinkToFit="0" vertical="center" wrapText="0"/>
    </xf>
    <xf borderId="2" fillId="2" fontId="7" numFmtId="0" xfId="0" applyAlignment="1" applyBorder="1" applyFill="1" applyFont="1">
      <alignment shrinkToFit="0" vertical="center" wrapText="0"/>
    </xf>
    <xf borderId="4" fillId="3" fontId="2" numFmtId="0" xfId="0" applyAlignment="1" applyBorder="1" applyFill="1" applyFont="1">
      <alignment readingOrder="0" shrinkToFit="0" vertical="center" wrapText="0"/>
    </xf>
    <xf borderId="2" fillId="2" fontId="8" numFmtId="164" xfId="0" applyAlignment="1" applyBorder="1" applyFill="1" applyFont="1" applyNumberFormat="1">
      <alignment horizontal="right" readingOrder="0" shrinkToFit="0" vertical="center" wrapText="0"/>
    </xf>
    <xf borderId="4" fillId="3" fontId="2" numFmtId="49" xfId="0" applyAlignment="1" applyBorder="1" applyFill="1" applyFont="1" applyNumberFormat="1">
      <alignment readingOrder="0" shrinkToFit="0" vertical="center" wrapText="0"/>
    </xf>
    <xf borderId="2" fillId="2" fontId="3" numFmtId="49" xfId="0" applyAlignment="1" applyBorder="1" applyFill="1" applyFont="1" applyNumberFormat="1">
      <alignment shrinkToFit="0" vertical="center" wrapText="0"/>
    </xf>
    <xf borderId="3" fillId="3" fontId="3" numFmtId="49" xfId="0" applyAlignment="1" applyBorder="1" applyFill="1" applyFont="1" applyNumberFormat="1">
      <alignment shrinkToFit="0" vertical="center" wrapText="0"/>
    </xf>
    <xf borderId="2" fillId="2" fontId="8" numFmtId="0" xfId="0" applyAlignment="1" applyBorder="1" applyFill="1" applyFont="1">
      <alignment readingOrder="0" shrinkToFit="0" vertical="center" wrapText="0"/>
    </xf>
    <xf borderId="4" fillId="3" fontId="3" numFmtId="49" xfId="0" applyAlignment="1" applyBorder="1" applyFill="1" applyFont="1" applyNumberFormat="1">
      <alignment shrinkToFit="0" vertical="center" wrapText="0"/>
    </xf>
    <xf borderId="2" fillId="2" fontId="8" numFmtId="0" xfId="0" applyAlignment="1" applyBorder="1" applyFill="1" applyFont="1">
      <alignment horizontal="right" readingOrder="0" shrinkToFit="0" vertical="center" wrapText="0"/>
    </xf>
    <xf borderId="5" fillId="3" fontId="4" numFmtId="0" xfId="0" applyAlignment="1" applyBorder="1" applyFill="1" applyFont="1">
      <alignment shrinkToFit="0" vertical="center" wrapText="0"/>
    </xf>
    <xf borderId="4" fillId="3" fontId="3" numFmtId="0" xfId="0" applyAlignment="1" applyBorder="1" applyFill="1" applyFont="1">
      <alignment shrinkToFit="0" vertical="center" wrapText="0"/>
    </xf>
    <xf borderId="2" fillId="2" fontId="8" numFmtId="0" xfId="0" applyAlignment="1" applyBorder="1" applyFill="1" applyFont="1">
      <alignment horizontal="right" readingOrder="0" shrinkToFit="0" vertical="center" wrapText="0"/>
    </xf>
    <xf borderId="2" fillId="2" fontId="8" numFmtId="49" xfId="0" applyAlignment="1" applyBorder="1" applyFill="1" applyFont="1" applyNumberFormat="1">
      <alignment readingOrder="0" shrinkToFit="0" vertical="center" wrapText="0"/>
    </xf>
    <xf borderId="2" fillId="2" fontId="8" numFmtId="0" xfId="0" applyAlignment="1" applyBorder="1" applyFill="1" applyFont="1">
      <alignment readingOrder="0" shrinkToFit="0" vertical="center" wrapText="0"/>
    </xf>
    <xf borderId="4" fillId="3" fontId="3" numFmtId="164" xfId="0" applyAlignment="1" applyBorder="1" applyFill="1" applyFont="1" applyNumberFormat="1">
      <alignment horizontal="right" shrinkToFit="0" vertical="center" wrapText="0"/>
    </xf>
    <xf borderId="5" fillId="2" fontId="8" numFmtId="0" xfId="0" applyAlignment="1" applyBorder="1" applyFill="1" applyFont="1">
      <alignment readingOrder="0" shrinkToFit="0" vertical="center" wrapText="0"/>
    </xf>
    <xf borderId="4" fillId="3" fontId="5" numFmtId="0" xfId="0" applyAlignment="1" applyBorder="1" applyFill="1" applyFont="1">
      <alignment shrinkToFit="0" vertical="center" wrapText="0"/>
    </xf>
    <xf borderId="6" fillId="3" fontId="3" numFmtId="0" xfId="0" applyAlignment="1" applyBorder="1" applyFill="1" applyFont="1">
      <alignment shrinkToFit="0" vertical="center" wrapText="0"/>
    </xf>
    <xf borderId="4" fillId="3" fontId="9" numFmtId="0" xfId="0" applyAlignment="1" applyBorder="1" applyFill="1" applyFont="1">
      <alignment shrinkToFit="0" vertical="center" wrapText="0"/>
    </xf>
    <xf borderId="7" fillId="2" fontId="3" numFmtId="49" xfId="0" applyAlignment="1" applyBorder="1" applyFill="1" applyFont="1" applyNumberFormat="1">
      <alignment shrinkToFit="0" vertical="center" wrapText="0"/>
    </xf>
    <xf borderId="4" fillId="3" fontId="10" numFmtId="0" xfId="0" applyAlignment="1" applyBorder="1" applyFill="1" applyFont="1">
      <alignment shrinkToFit="0" vertical="center" wrapText="0"/>
    </xf>
    <xf borderId="8" fillId="2" fontId="2" numFmtId="49" xfId="0" applyAlignment="1" applyBorder="1" applyFill="1" applyFont="1" applyNumberFormat="1">
      <alignment shrinkToFit="0" vertical="center" wrapText="0"/>
    </xf>
    <xf borderId="2" fillId="3" fontId="8" numFmtId="164" xfId="0" applyAlignment="1" applyBorder="1" applyFill="1" applyFont="1" applyNumberFormat="1">
      <alignment horizontal="right" readingOrder="0" shrinkToFit="0" vertical="center" wrapText="0"/>
    </xf>
    <xf borderId="8" fillId="2" fontId="3" numFmtId="0" xfId="0" applyAlignment="1" applyBorder="1" applyFill="1" applyFont="1">
      <alignment shrinkToFit="0" vertical="center" wrapText="0"/>
    </xf>
    <xf borderId="4" fillId="3" fontId="8" numFmtId="0" xfId="0" applyAlignment="1" applyBorder="1" applyFill="1" applyFont="1">
      <alignment readingOrder="0" shrinkToFit="0" vertical="center" wrapText="0"/>
    </xf>
    <xf borderId="8" fillId="2" fontId="3" numFmtId="49" xfId="0" applyAlignment="1" applyBorder="1" applyFill="1" applyFont="1" applyNumberFormat="1">
      <alignment shrinkToFit="0" vertical="center" wrapText="0"/>
    </xf>
    <xf borderId="4" fillId="3" fontId="8" numFmtId="0" xfId="0" applyAlignment="1" applyBorder="1" applyFill="1" applyFont="1">
      <alignment horizontal="right" readingOrder="0" shrinkToFit="0" vertical="center" wrapText="0"/>
    </xf>
    <xf borderId="8" fillId="2" fontId="3" numFmtId="164" xfId="0" applyAlignment="1" applyBorder="1" applyFill="1" applyFont="1" applyNumberFormat="1">
      <alignment horizontal="right" shrinkToFit="0" vertical="center" wrapText="0"/>
    </xf>
    <xf borderId="4" fillId="3" fontId="8" numFmtId="0" xfId="0" applyAlignment="1" applyBorder="1" applyFill="1" applyFont="1">
      <alignment horizontal="right" readingOrder="0" shrinkToFit="0" vertical="center" wrapText="0"/>
    </xf>
    <xf borderId="8" fillId="2" fontId="5" numFmtId="0" xfId="0" applyAlignment="1" applyBorder="1" applyFill="1" applyFont="1">
      <alignment shrinkToFit="0" vertical="center" wrapText="0"/>
    </xf>
    <xf borderId="4" fillId="3" fontId="8" numFmtId="49" xfId="0" applyAlignment="1" applyBorder="1" applyFill="1" applyFont="1" applyNumberFormat="1">
      <alignment readingOrder="0" shrinkToFit="0" vertical="center" wrapText="0"/>
    </xf>
    <xf borderId="4" fillId="3" fontId="8" numFmtId="0" xfId="0" applyAlignment="1" applyBorder="1" applyFill="1" applyFont="1">
      <alignment readingOrder="0" shrinkToFit="0" vertical="center" wrapText="0"/>
    </xf>
    <xf borderId="2" fillId="2" fontId="3" numFmtId="0" xfId="0" applyAlignment="1" applyBorder="1" applyFill="1" applyFont="1">
      <alignment horizontal="right" shrinkToFit="0" vertical="center" wrapText="0"/>
    </xf>
    <xf borderId="6" fillId="3" fontId="8" numFmtId="0" xfId="0" applyAlignment="1" applyBorder="1" applyFill="1" applyFont="1">
      <alignment readingOrder="0" shrinkToFit="0" vertical="center" wrapText="0"/>
    </xf>
    <xf borderId="9" fillId="2" fontId="3" numFmtId="0" xfId="0" applyAlignment="1" applyBorder="1" applyFill="1" applyFont="1">
      <alignment shrinkToFit="0" vertical="center" wrapText="0"/>
    </xf>
    <xf borderId="2" fillId="2" fontId="11" numFmtId="0" xfId="0" applyAlignment="1" applyBorder="1" applyFill="1" applyFont="1">
      <alignment shrinkToFit="0" vertical="center" wrapText="0"/>
    </xf>
    <xf borderId="4" fillId="3" fontId="6" numFmtId="0" xfId="0" applyAlignment="1" applyBorder="1" applyFill="1" applyFont="1">
      <alignment shrinkToFit="0" vertical="center" wrapText="0"/>
    </xf>
    <xf borderId="4" fillId="3" fontId="7" numFmtId="0" xfId="0" applyAlignment="1" applyBorder="1" applyFill="1" applyFont="1">
      <alignment shrinkToFit="0" vertical="center" wrapText="0"/>
    </xf>
    <xf borderId="5" fillId="2" fontId="3" numFmtId="0" xfId="0" applyAlignment="1" applyBorder="1" applyFill="1" applyFont="1">
      <alignment shrinkToFit="0" vertical="center" wrapText="0"/>
    </xf>
    <xf borderId="2" fillId="2" fontId="9" numFmtId="0" xfId="0" applyAlignment="1" applyBorder="1" applyFill="1" applyFont="1">
      <alignment shrinkToFit="0" vertical="center" wrapText="0"/>
    </xf>
    <xf borderId="2" fillId="3" fontId="3" numFmtId="49" xfId="0" applyAlignment="1" applyBorder="1" applyFill="1" applyFont="1" applyNumberFormat="1">
      <alignment shrinkToFit="0" vertical="center" wrapText="0"/>
    </xf>
    <xf borderId="2" fillId="2" fontId="10" numFmtId="0" xfId="0" applyAlignment="1" applyBorder="1" applyFill="1" applyFont="1">
      <alignment shrinkToFit="0" vertical="center" wrapText="0"/>
    </xf>
    <xf borderId="2" fillId="3" fontId="3" numFmtId="0" xfId="0" applyAlignment="1" applyBorder="1" applyFill="1" applyFont="1">
      <alignment horizontal="right" shrinkToFit="0" vertical="center" wrapText="0"/>
    </xf>
    <xf borderId="4" fillId="3" fontId="12" numFmtId="0" xfId="0" applyAlignment="1" applyBorder="1" applyFill="1" applyFont="1">
      <alignment shrinkToFit="0" vertical="center" wrapText="0"/>
    </xf>
    <xf borderId="4" fillId="3" fontId="3" numFmtId="0" xfId="0" applyAlignment="1" applyBorder="1" applyFill="1" applyFont="1">
      <alignment readingOrder="0" shrinkToFit="0" vertical="center" wrapText="0"/>
    </xf>
    <xf borderId="4" fillId="3" fontId="3" numFmtId="0" xfId="0" applyAlignment="1" applyBorder="1" applyFill="1" applyFont="1">
      <alignment horizontal="right" readingOrder="0" shrinkToFit="0" vertical="center" wrapText="0"/>
    </xf>
    <xf borderId="4" fillId="3" fontId="3" numFmtId="0" xfId="0" applyAlignment="1" applyBorder="1" applyFill="1" applyFont="1">
      <alignment horizontal="right" readingOrder="0" shrinkToFit="0" vertical="center" wrapText="0"/>
    </xf>
    <xf borderId="4" fillId="3" fontId="3" numFmtId="49" xfId="0" applyAlignment="1" applyBorder="1" applyFill="1" applyFont="1" applyNumberFormat="1">
      <alignment readingOrder="0" shrinkToFit="0" vertical="center" wrapText="0"/>
    </xf>
    <xf borderId="4" fillId="3" fontId="3" numFmtId="0" xfId="0" applyAlignment="1" applyBorder="1" applyFill="1" applyFont="1">
      <alignment readingOrder="0" shrinkToFit="0" vertical="center" wrapText="0"/>
    </xf>
    <xf borderId="5" fillId="3" fontId="3" numFmtId="0" xfId="0" applyAlignment="1" applyBorder="1" applyFill="1" applyFont="1">
      <alignment shrinkToFit="0" vertical="center" wrapText="0"/>
    </xf>
    <xf borderId="6" fillId="3" fontId="3" numFmtId="0" xfId="0" applyAlignment="1" applyBorder="1" applyFill="1" applyFont="1">
      <alignment readingOrder="0" shrinkToFit="0" vertical="center" wrapText="0"/>
    </xf>
    <xf borderId="2" fillId="2" fontId="13" numFmtId="0" xfId="0" applyAlignment="1" applyBorder="1" applyFill="1" applyFont="1">
      <alignment shrinkToFit="0" vertical="center" wrapText="0"/>
    </xf>
    <xf borderId="2" fillId="2" fontId="14" numFmtId="0" xfId="0" applyAlignment="1" applyBorder="1" applyFill="1" applyFont="1">
      <alignment shrinkToFit="0" vertical="center" wrapText="0"/>
    </xf>
    <xf borderId="2" fillId="2" fontId="3" numFmtId="0" xfId="0" applyAlignment="1" applyBorder="1" applyFill="1" applyFont="1">
      <alignment readingOrder="0" shrinkToFit="0" vertical="center" wrapText="0"/>
    </xf>
    <xf borderId="2" fillId="2" fontId="3" numFmtId="0" xfId="0" applyAlignment="1" applyBorder="1" applyFill="1" applyFont="1">
      <alignment horizontal="right" readingOrder="0" shrinkToFit="0" vertical="center" wrapText="0"/>
    </xf>
    <xf borderId="2" fillId="2" fontId="3" numFmtId="0" xfId="0" applyAlignment="1" applyBorder="1" applyFill="1" applyFont="1">
      <alignment horizontal="right" readingOrder="0" shrinkToFit="0" vertical="center" wrapText="0"/>
    </xf>
    <xf borderId="2" fillId="2" fontId="3" numFmtId="49" xfId="0" applyAlignment="1" applyBorder="1" applyFill="1" applyFont="1" applyNumberFormat="1">
      <alignment readingOrder="0" shrinkToFit="0" vertical="center" wrapText="0"/>
    </xf>
    <xf borderId="2" fillId="2" fontId="3" numFmtId="0" xfId="0" applyAlignment="1" applyBorder="1" applyFill="1" applyFont="1">
      <alignment readingOrder="0" shrinkToFit="0" vertical="center" wrapText="0"/>
    </xf>
    <xf borderId="5" fillId="2" fontId="3" numFmtId="0" xfId="0" applyAlignment="1" applyBorder="1" applyFill="1" applyFont="1">
      <alignment readingOrder="0" shrinkToFit="0" vertical="center" wrapText="0"/>
    </xf>
    <xf borderId="4" fillId="3" fontId="15" numFmtId="0" xfId="0" applyAlignment="1" applyBorder="1" applyFill="1" applyFont="1">
      <alignment shrinkToFit="0" vertical="center" wrapText="0"/>
    </xf>
    <xf borderId="4" fillId="3" fontId="16" numFmtId="0" xfId="0" applyAlignment="1" applyBorder="1" applyFill="1" applyFont="1">
      <alignment shrinkToFit="0" vertical="center" wrapText="0"/>
    </xf>
    <xf borderId="2" fillId="2" fontId="12" numFmtId="0" xfId="0" applyAlignment="1" applyBorder="1" applyFill="1" applyFont="1">
      <alignment shrinkToFit="0" vertical="center" wrapText="0"/>
    </xf>
    <xf borderId="5" fillId="2" fontId="3" numFmtId="0" xfId="0" applyAlignment="1" applyBorder="1" applyFill="1" applyFont="1">
      <alignment readingOrder="0" shrinkToFit="0" vertical="center" wrapText="0"/>
    </xf>
    <xf borderId="4" fillId="3" fontId="13" numFmtId="0" xfId="0" applyAlignment="1" applyBorder="1" applyFill="1" applyFont="1">
      <alignment shrinkToFit="0" vertical="center" wrapText="0"/>
    </xf>
    <xf borderId="4" fillId="3" fontId="14" numFmtId="0" xfId="0" applyAlignment="1" applyBorder="1" applyFill="1" applyFont="1">
      <alignment shrinkToFit="0" vertical="center" wrapText="0"/>
    </xf>
    <xf borderId="6" fillId="3" fontId="3" numFmtId="0" xfId="0" applyAlignment="1" applyBorder="1" applyFill="1" applyFont="1">
      <alignment readingOrder="0" shrinkToFit="0" vertical="center" wrapText="0"/>
    </xf>
    <xf borderId="2" fillId="2" fontId="15" numFmtId="0" xfId="0" applyAlignment="1" applyBorder="1" applyFill="1" applyFont="1">
      <alignment shrinkToFit="0" vertical="center" wrapText="0"/>
    </xf>
    <xf borderId="2" fillId="2" fontId="16" numFmtId="0" xfId="0" applyAlignment="1" applyBorder="1" applyFill="1" applyFont="1">
      <alignment shrinkToFit="0" vertical="center" wrapText="0"/>
    </xf>
    <xf borderId="2" fillId="2" fontId="2" numFmtId="0" xfId="0" applyAlignment="1" applyBorder="1" applyFill="1" applyFont="1">
      <alignment readingOrder="0" shrinkToFit="0" vertical="center" wrapText="0"/>
    </xf>
    <xf borderId="1" fillId="2" fontId="3" numFmtId="49" xfId="0" applyAlignment="1" applyBorder="1" applyFill="1" applyFont="1" applyNumberFormat="1">
      <alignment shrinkToFit="0" vertical="center" wrapText="0"/>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5">
    <tableStyle count="4" pivot="0" name="Questões-style">
      <tableStyleElement dxfId="1" type="headerRow"/>
      <tableStyleElement dxfId="2" type="firstRowStripe"/>
      <tableStyleElement dxfId="3" type="secondRowStripe"/>
      <tableStyleElement dxfId="4" size="0" type="wholeTable"/>
    </tableStyle>
    <tableStyle count="4" pivot="0" name="Prompts-style">
      <tableStyleElement dxfId="1" type="headerRow"/>
      <tableStyleElement dxfId="2" type="firstRowStripe"/>
      <tableStyleElement dxfId="3" type="secondRowStripe"/>
      <tableStyleElement dxfId="4" size="0" type="wholeTable"/>
    </tableStyle>
    <tableStyle count="4" pivot="0" name="Respostas LLM-style">
      <tableStyleElement dxfId="1" type="headerRow"/>
      <tableStyleElement dxfId="2" type="firstRowStripe"/>
      <tableStyleElement dxfId="3" type="secondRowStripe"/>
      <tableStyleElement dxfId="4" size="0" type="wholeTable"/>
    </tableStyle>
    <tableStyle count="4" pivot="0" name="Consenso-style">
      <tableStyleElement dxfId="1" type="headerRow"/>
      <tableStyleElement dxfId="2" type="firstRowStripe"/>
      <tableStyleElement dxfId="3" type="secondRowStripe"/>
      <tableStyleElement dxfId="4" size="0" type="wholeTable"/>
    </tableStyle>
    <tableStyle count="4" pivot="0" name="Gabarito_INE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3" displayName="Questões" name="Questões" id="1">
  <tableColumns count="5">
    <tableColumn name="Questão " id="1"/>
    <tableColumn name="Tipo" id="2"/>
    <tableColumn name="Enunciado" id="3"/>
    <tableColumn name="Possui figura?" id="4"/>
    <tableColumn name="Situação" id="5"/>
  </tableColumns>
  <tableStyleInfo name="Questões-style" showColumnStripes="0" showFirstColumn="1" showLastColumn="1" showRowStripes="1"/>
</table>
</file>

<file path=xl/tables/table2.xml><?xml version="1.0" encoding="utf-8"?>
<table xmlns="http://schemas.openxmlformats.org/spreadsheetml/2006/main" ref="A1:O37" displayName="Respostas_LLM" name="Respostas_LLM" id="2">
  <tableColumns count="15">
    <tableColumn name="Questão" id="1"/>
    <tableColumn name="LLM" id="2"/>
    <tableColumn name="Modelo" id="3"/>
    <tableColumn name="Data" id="4"/>
    <tableColumn name="Alternativa" id="5"/>
    <tableColumn name="Confiança" id="6"/>
    <tableColumn name="Dificuldade" id="7"/>
    <tableColumn name="Ambiguidade" id="8"/>
    <tableColumn name="Força dos distratores" id="9"/>
    <tableColumn name="Tema" id="10"/>
    <tableColumn name="Subtema" id="11"/>
    <tableColumn name="Justificativa da resposta" id="12"/>
    <tableColumn name="Análise das alternativas" id="13"/>
    <tableColumn name="Justificativa da ambiguidade" id="14"/>
    <tableColumn name="Justificativa dos distratores" id="15"/>
  </tableColumns>
  <tableStyleInfo name="Respostas LLM-style" showColumnStripes="0" showFirstColumn="1" showLastColumn="1" showRowStripes="1"/>
</table>
</file>

<file path=xl/tables/table3.xml><?xml version="1.0" encoding="utf-8"?>
<table xmlns="http://schemas.openxmlformats.org/spreadsheetml/2006/main" ref="A1:O13" displayName="Consenso" name="Consenso" id="3">
  <tableColumns count="15">
    <tableColumn name="Questão " id="1"/>
    <tableColumn name="ChatGPT" id="2"/>
    <tableColumn name="Gemini" id="3"/>
    <tableColumn name="Claude" id="4"/>
    <tableColumn name="Consenso" id="5"/>
    <tableColumn name="Resposta Majoritária" id="6"/>
    <tableColumn name="Gabarito INEP" id="7"/>
    <tableColumn name="Acertos" id="8"/>
    <tableColumn name="Confiança média" id="9"/>
    <tableColumn name="Dificuldade média" id="10"/>
    <tableColumn name="Ambiguidade média" id="11"/>
    <tableColumn name="Ambiguidade máxima" id="12"/>
    <tableColumn name="Força dos distratores média" id="13"/>
    <tableColumn name="Concorda com INEP?" id="14"/>
    <tableColumn name="Classificação do resultado" id="15"/>
  </tableColumns>
  <tableStyleInfo name="Consenso-style" showColumnStripes="0" showFirstColumn="1" showLastColumn="1" showRowStripes="1"/>
</table>
</file>

<file path=xl/tables/table4.xml><?xml version="1.0" encoding="utf-8"?>
<table xmlns="http://schemas.openxmlformats.org/spreadsheetml/2006/main" ref="A1:G4" displayName="Prompts" name="Prompts" id="4">
  <tableColumns count="7">
    <tableColumn name="Nome do prompt" id="1"/>
    <tableColumn name="Versão" id="2"/>
    <tableColumn name="Finalidade" id="3"/>
    <tableColumn name="Modelos utilizados" id="4"/>
    <tableColumn name="Data de início" id="5"/>
    <tableColumn name="Status" id="6"/>
    <tableColumn name="Texto completo do prompt" id="7"/>
  </tableColumns>
  <tableStyleInfo name="Prompts-style" showColumnStripes="0" showFirstColumn="1" showLastColumn="1" showRowStripes="1"/>
</table>
</file>

<file path=xl/tables/table5.xml><?xml version="1.0" encoding="utf-8"?>
<table xmlns="http://schemas.openxmlformats.org/spreadsheetml/2006/main" ref="A1:B13" displayName="Gabarito_INEP" name="Gabarito_INEP" id="5">
  <tableColumns count="2">
    <tableColumn name="Questão " id="1"/>
    <tableColumn name="Gabarito INEP" id="2"/>
  </tableColumns>
  <tableStyleInfo name="Gabarito_INE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4" max="4" width="23.13"/>
  </cols>
  <sheetData>
    <row r="1" ht="22.5" customHeight="1">
      <c r="A1" s="1" t="s">
        <v>0</v>
      </c>
      <c r="B1" s="1" t="s">
        <v>3</v>
      </c>
      <c r="C1" s="1" t="s">
        <v>5</v>
      </c>
      <c r="D1" s="3" t="s">
        <v>6</v>
      </c>
      <c r="E1" s="3" t="s">
        <v>11</v>
      </c>
    </row>
    <row r="2" ht="26.25" customHeight="1">
      <c r="A2" s="5" t="s">
        <v>14</v>
      </c>
      <c r="B2" s="6" t="s">
        <v>21</v>
      </c>
      <c r="C2" s="8" t="s">
        <v>27</v>
      </c>
      <c r="D2" s="6" t="s">
        <v>34</v>
      </c>
      <c r="E2" s="10" t="s">
        <v>37</v>
      </c>
    </row>
    <row r="3" ht="26.25" customHeight="1">
      <c r="A3" s="16" t="s">
        <v>53</v>
      </c>
      <c r="B3" s="18" t="s">
        <v>21</v>
      </c>
      <c r="C3" s="20" t="s">
        <v>55</v>
      </c>
      <c r="D3" s="18" t="s">
        <v>34</v>
      </c>
      <c r="E3" s="26" t="s">
        <v>37</v>
      </c>
    </row>
    <row r="4" ht="26.25" customHeight="1">
      <c r="A4" s="5" t="s">
        <v>63</v>
      </c>
      <c r="B4" s="6" t="s">
        <v>21</v>
      </c>
      <c r="C4" s="8" t="s">
        <v>66</v>
      </c>
      <c r="D4" s="6" t="s">
        <v>34</v>
      </c>
      <c r="E4" s="10" t="s">
        <v>37</v>
      </c>
    </row>
    <row r="5" ht="26.25" customHeight="1">
      <c r="A5" s="16" t="s">
        <v>70</v>
      </c>
      <c r="B5" s="18" t="s">
        <v>71</v>
      </c>
      <c r="C5" s="20" t="s">
        <v>72</v>
      </c>
      <c r="D5" s="18" t="s">
        <v>73</v>
      </c>
      <c r="E5" s="26" t="s">
        <v>37</v>
      </c>
    </row>
    <row r="6" ht="26.25" customHeight="1">
      <c r="A6" s="5" t="s">
        <v>76</v>
      </c>
      <c r="B6" s="6" t="s">
        <v>71</v>
      </c>
      <c r="C6" s="8" t="s">
        <v>78</v>
      </c>
      <c r="D6" s="6" t="s">
        <v>34</v>
      </c>
      <c r="E6" s="10" t="s">
        <v>37</v>
      </c>
    </row>
    <row r="7" ht="26.25" customHeight="1">
      <c r="A7" s="16" t="s">
        <v>81</v>
      </c>
      <c r="B7" s="18" t="s">
        <v>71</v>
      </c>
      <c r="C7" s="20" t="s">
        <v>85</v>
      </c>
      <c r="D7" s="18" t="s">
        <v>34</v>
      </c>
      <c r="E7" s="26" t="s">
        <v>37</v>
      </c>
    </row>
    <row r="8" ht="26.25" customHeight="1">
      <c r="A8" s="5" t="s">
        <v>88</v>
      </c>
      <c r="B8" s="6" t="s">
        <v>71</v>
      </c>
      <c r="C8" s="8" t="s">
        <v>89</v>
      </c>
      <c r="D8" s="6" t="s">
        <v>34</v>
      </c>
      <c r="E8" s="10" t="s">
        <v>37</v>
      </c>
    </row>
    <row r="9" ht="26.25" customHeight="1">
      <c r="A9" s="16" t="s">
        <v>94</v>
      </c>
      <c r="B9" s="18" t="s">
        <v>71</v>
      </c>
      <c r="C9" s="20" t="s">
        <v>97</v>
      </c>
      <c r="D9" s="18" t="s">
        <v>73</v>
      </c>
      <c r="E9" s="26" t="s">
        <v>37</v>
      </c>
    </row>
    <row r="10" ht="26.25" customHeight="1">
      <c r="A10" s="5" t="s">
        <v>101</v>
      </c>
      <c r="B10" s="6" t="s">
        <v>71</v>
      </c>
      <c r="C10" s="8" t="s">
        <v>102</v>
      </c>
      <c r="D10" s="6" t="s">
        <v>34</v>
      </c>
      <c r="E10" s="10" t="s">
        <v>37</v>
      </c>
    </row>
    <row r="11" ht="26.25" customHeight="1">
      <c r="A11" s="16" t="s">
        <v>105</v>
      </c>
      <c r="B11" s="18" t="s">
        <v>71</v>
      </c>
      <c r="C11" s="20" t="s">
        <v>107</v>
      </c>
      <c r="D11" s="18" t="s">
        <v>34</v>
      </c>
      <c r="E11" s="26" t="s">
        <v>37</v>
      </c>
    </row>
    <row r="12" ht="26.25" customHeight="1">
      <c r="A12" s="5" t="s">
        <v>111</v>
      </c>
      <c r="B12" s="6" t="s">
        <v>112</v>
      </c>
      <c r="C12" s="8" t="s">
        <v>113</v>
      </c>
      <c r="D12" s="6" t="s">
        <v>34</v>
      </c>
      <c r="E12" s="10" t="s">
        <v>37</v>
      </c>
    </row>
    <row r="13" ht="26.25" customHeight="1">
      <c r="A13" s="16" t="s">
        <v>114</v>
      </c>
      <c r="B13" s="18" t="s">
        <v>112</v>
      </c>
      <c r="C13" s="20" t="s">
        <v>115</v>
      </c>
      <c r="D13" s="18" t="s">
        <v>34</v>
      </c>
      <c r="E13" s="26" t="s">
        <v>37</v>
      </c>
    </row>
  </sheetData>
  <dataValidations>
    <dataValidation type="list" allowBlank="1" sqref="D2:D13">
      <formula1>"Sim,Não"</formula1>
    </dataValidation>
    <dataValidation type="list" allowBlank="1" sqref="B2:B13">
      <formula1>"Formação Geral,Componente Específico Comum,Componente Específico — Ciência da Computação"</formula1>
    </dataValidation>
    <dataValidation allowBlank="1" showDropDown="1" sqref="A2:A13"/>
    <dataValidation allowBlank="1" showDropDown="1" sqref="C2:C13"/>
    <dataValidation type="list" allowBlank="1" sqref="E2:E13">
      <formula1>"Não iniciada,Em resolução pelas LLMs,Judge concluído,Em revisão humana,Finalizada"</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 t="s">
        <v>1</v>
      </c>
      <c r="B1" s="1" t="s">
        <v>10</v>
      </c>
      <c r="C1" s="1" t="s">
        <v>16</v>
      </c>
      <c r="D1" s="1" t="s">
        <v>17</v>
      </c>
      <c r="E1" s="1" t="s">
        <v>18</v>
      </c>
      <c r="F1" s="3" t="s">
        <v>20</v>
      </c>
      <c r="G1" s="3" t="s">
        <v>23</v>
      </c>
      <c r="H1" s="3" t="s">
        <v>26</v>
      </c>
      <c r="I1" s="3" t="s">
        <v>28</v>
      </c>
      <c r="J1" s="3" t="s">
        <v>30</v>
      </c>
      <c r="K1" s="3" t="s">
        <v>33</v>
      </c>
      <c r="L1" s="3" t="s">
        <v>35</v>
      </c>
      <c r="M1" s="3" t="s">
        <v>39</v>
      </c>
      <c r="N1" s="3" t="s">
        <v>41</v>
      </c>
      <c r="O1" s="3" t="s">
        <v>44</v>
      </c>
    </row>
    <row r="2" ht="26.25" customHeight="1">
      <c r="A2" s="5" t="s">
        <v>47</v>
      </c>
      <c r="B2" s="14" t="s">
        <v>15</v>
      </c>
      <c r="C2" s="17" t="s">
        <v>54</v>
      </c>
      <c r="D2" s="19">
        <v>46289.0</v>
      </c>
      <c r="E2" s="23" t="s">
        <v>57</v>
      </c>
      <c r="F2" s="25">
        <v>98.0</v>
      </c>
      <c r="G2" s="25">
        <v>3.0</v>
      </c>
      <c r="H2" s="25">
        <v>0.0</v>
      </c>
      <c r="I2" s="28">
        <v>1.0</v>
      </c>
      <c r="J2" s="29" t="s">
        <v>61</v>
      </c>
      <c r="K2" s="29" t="s">
        <v>62</v>
      </c>
      <c r="L2" s="30" t="s">
        <v>64</v>
      </c>
      <c r="M2" s="30" t="s">
        <v>65</v>
      </c>
      <c r="N2" s="30" t="s">
        <v>67</v>
      </c>
      <c r="O2" s="32" t="s">
        <v>68</v>
      </c>
    </row>
    <row r="3" ht="26.25" customHeight="1">
      <c r="A3" s="16" t="s">
        <v>47</v>
      </c>
      <c r="B3" s="35" t="s">
        <v>19</v>
      </c>
      <c r="C3" s="37" t="s">
        <v>74</v>
      </c>
      <c r="D3" s="39">
        <v>46289.0</v>
      </c>
      <c r="E3" s="41" t="s">
        <v>77</v>
      </c>
      <c r="F3" s="43">
        <v>95.0</v>
      </c>
      <c r="G3" s="43">
        <v>3.0</v>
      </c>
      <c r="H3" s="43">
        <v>0.0</v>
      </c>
      <c r="I3" s="45">
        <v>2.0</v>
      </c>
      <c r="J3" s="47" t="s">
        <v>79</v>
      </c>
      <c r="K3" s="47" t="s">
        <v>80</v>
      </c>
      <c r="L3" s="48" t="s">
        <v>82</v>
      </c>
      <c r="M3" s="48" t="s">
        <v>83</v>
      </c>
      <c r="N3" s="48" t="s">
        <v>84</v>
      </c>
      <c r="O3" s="50" t="s">
        <v>86</v>
      </c>
    </row>
    <row r="4" ht="26.25" customHeight="1">
      <c r="A4" s="5" t="s">
        <v>47</v>
      </c>
      <c r="B4" s="52" t="s">
        <v>22</v>
      </c>
      <c r="C4" s="52" t="s">
        <v>90</v>
      </c>
      <c r="D4" s="19">
        <v>46289.0</v>
      </c>
      <c r="E4" s="23" t="s">
        <v>91</v>
      </c>
      <c r="F4" s="25">
        <v>85.0</v>
      </c>
      <c r="G4" s="25">
        <v>3.0</v>
      </c>
      <c r="H4" s="25">
        <v>1.0</v>
      </c>
      <c r="I4" s="28">
        <v>2.0</v>
      </c>
      <c r="J4" s="29" t="s">
        <v>92</v>
      </c>
      <c r="K4" s="29" t="s">
        <v>93</v>
      </c>
      <c r="L4" s="30" t="s">
        <v>95</v>
      </c>
      <c r="M4" s="30" t="s">
        <v>96</v>
      </c>
      <c r="N4" s="30" t="s">
        <v>98</v>
      </c>
      <c r="O4" s="32" t="s">
        <v>99</v>
      </c>
    </row>
    <row r="5" ht="26.25" customHeight="1">
      <c r="A5" s="16" t="s">
        <v>100</v>
      </c>
      <c r="B5" s="53" t="s">
        <v>15</v>
      </c>
      <c r="C5" s="54" t="s">
        <v>54</v>
      </c>
      <c r="D5" s="39">
        <v>46289.0</v>
      </c>
      <c r="E5" s="41" t="s">
        <v>77</v>
      </c>
      <c r="F5" s="43">
        <v>98.0</v>
      </c>
      <c r="G5" s="43">
        <v>3.0</v>
      </c>
      <c r="H5" s="43">
        <v>0.0</v>
      </c>
      <c r="I5" s="45">
        <v>2.0</v>
      </c>
      <c r="J5" s="47" t="s">
        <v>103</v>
      </c>
      <c r="K5" s="47" t="s">
        <v>104</v>
      </c>
      <c r="L5" s="48" t="s">
        <v>106</v>
      </c>
      <c r="M5" s="48" t="s">
        <v>108</v>
      </c>
      <c r="N5" s="48" t="s">
        <v>109</v>
      </c>
      <c r="O5" s="50" t="s">
        <v>110</v>
      </c>
    </row>
    <row r="6" ht="26.25" customHeight="1">
      <c r="A6" s="5" t="s">
        <v>100</v>
      </c>
      <c r="B6" s="56" t="s">
        <v>19</v>
      </c>
      <c r="C6" s="58" t="s">
        <v>74</v>
      </c>
      <c r="D6" s="19">
        <v>46289.0</v>
      </c>
      <c r="E6" s="23" t="s">
        <v>77</v>
      </c>
      <c r="F6" s="25">
        <v>100.0</v>
      </c>
      <c r="G6" s="25">
        <v>3.0</v>
      </c>
      <c r="H6" s="25">
        <v>0.0</v>
      </c>
      <c r="I6" s="28">
        <v>1.0</v>
      </c>
      <c r="J6" s="29" t="s">
        <v>116</v>
      </c>
      <c r="K6" s="29" t="s">
        <v>117</v>
      </c>
      <c r="L6" s="30" t="s">
        <v>118</v>
      </c>
      <c r="M6" s="30" t="s">
        <v>119</v>
      </c>
      <c r="N6" s="30" t="s">
        <v>120</v>
      </c>
      <c r="O6" s="32" t="s">
        <v>121</v>
      </c>
    </row>
    <row r="7" ht="26.25" customHeight="1">
      <c r="A7" s="16" t="s">
        <v>100</v>
      </c>
      <c r="B7" s="60" t="s">
        <v>22</v>
      </c>
      <c r="C7" s="60" t="s">
        <v>90</v>
      </c>
      <c r="D7" s="39">
        <v>46289.0</v>
      </c>
      <c r="E7" s="61" t="s">
        <v>77</v>
      </c>
      <c r="F7" s="62">
        <v>90.0</v>
      </c>
      <c r="G7" s="62">
        <v>2.0</v>
      </c>
      <c r="H7" s="62">
        <v>0.0</v>
      </c>
      <c r="I7" s="63">
        <v>1.0</v>
      </c>
      <c r="J7" s="20" t="s">
        <v>122</v>
      </c>
      <c r="K7" s="64" t="s">
        <v>123</v>
      </c>
      <c r="L7" s="65" t="s">
        <v>124</v>
      </c>
      <c r="M7" s="65" t="s">
        <v>125</v>
      </c>
      <c r="N7" s="65" t="s">
        <v>126</v>
      </c>
      <c r="O7" s="67" t="s">
        <v>127</v>
      </c>
    </row>
    <row r="8" ht="26.25" customHeight="1">
      <c r="A8" s="5" t="s">
        <v>128</v>
      </c>
      <c r="B8" s="68" t="s">
        <v>15</v>
      </c>
      <c r="C8" s="69" t="s">
        <v>54</v>
      </c>
      <c r="D8" s="19">
        <v>46289.0</v>
      </c>
      <c r="E8" s="70" t="s">
        <v>91</v>
      </c>
      <c r="F8" s="71">
        <v>98.0</v>
      </c>
      <c r="G8" s="71">
        <v>3.0</v>
      </c>
      <c r="H8" s="71">
        <v>0.0</v>
      </c>
      <c r="I8" s="72">
        <v>1.0</v>
      </c>
      <c r="J8" s="73" t="s">
        <v>129</v>
      </c>
      <c r="K8" s="73" t="s">
        <v>130</v>
      </c>
      <c r="L8" s="74" t="s">
        <v>131</v>
      </c>
      <c r="M8" s="74" t="s">
        <v>132</v>
      </c>
      <c r="N8" s="74" t="s">
        <v>133</v>
      </c>
      <c r="O8" s="75" t="s">
        <v>134</v>
      </c>
    </row>
    <row r="9" ht="26.25" customHeight="1">
      <c r="A9" s="16" t="s">
        <v>128</v>
      </c>
      <c r="B9" s="76" t="s">
        <v>19</v>
      </c>
      <c r="C9" s="77" t="s">
        <v>74</v>
      </c>
      <c r="D9" s="39">
        <v>46289.0</v>
      </c>
      <c r="E9" s="61" t="s">
        <v>91</v>
      </c>
      <c r="F9" s="62">
        <v>100.0</v>
      </c>
      <c r="G9" s="62">
        <v>2.0</v>
      </c>
      <c r="H9" s="62">
        <v>0.0</v>
      </c>
      <c r="I9" s="63">
        <v>1.0</v>
      </c>
      <c r="J9" s="64" t="s">
        <v>135</v>
      </c>
      <c r="K9" s="64" t="s">
        <v>136</v>
      </c>
      <c r="L9" s="65" t="s">
        <v>137</v>
      </c>
      <c r="M9" s="65" t="s">
        <v>138</v>
      </c>
      <c r="N9" s="65" t="s">
        <v>139</v>
      </c>
      <c r="O9" s="67" t="s">
        <v>140</v>
      </c>
    </row>
    <row r="10" ht="26.25" customHeight="1">
      <c r="A10" s="5" t="s">
        <v>128</v>
      </c>
      <c r="B10" s="78" t="s">
        <v>22</v>
      </c>
      <c r="C10" s="78" t="s">
        <v>90</v>
      </c>
      <c r="D10" s="19">
        <v>46289.0</v>
      </c>
      <c r="E10" s="70" t="s">
        <v>91</v>
      </c>
      <c r="F10" s="71">
        <v>92.0</v>
      </c>
      <c r="G10" s="71">
        <v>2.0</v>
      </c>
      <c r="H10" s="71">
        <v>0.0</v>
      </c>
      <c r="I10" s="72">
        <v>1.0</v>
      </c>
      <c r="J10" s="73" t="s">
        <v>142</v>
      </c>
      <c r="K10" s="73" t="s">
        <v>143</v>
      </c>
      <c r="L10" s="74" t="s">
        <v>144</v>
      </c>
      <c r="M10" s="74" t="s">
        <v>145</v>
      </c>
      <c r="N10" s="74" t="s">
        <v>146</v>
      </c>
      <c r="O10" s="75" t="s">
        <v>147</v>
      </c>
    </row>
    <row r="11" ht="26.25" customHeight="1">
      <c r="A11" s="16" t="s">
        <v>141</v>
      </c>
      <c r="B11" s="80" t="s">
        <v>15</v>
      </c>
      <c r="C11" s="81" t="s">
        <v>54</v>
      </c>
      <c r="D11" s="39">
        <v>46290.0</v>
      </c>
      <c r="E11" s="61" t="s">
        <v>148</v>
      </c>
      <c r="F11" s="62">
        <v>98.0</v>
      </c>
      <c r="G11" s="62">
        <v>3.0</v>
      </c>
      <c r="H11" s="62">
        <v>0.0</v>
      </c>
      <c r="I11" s="63">
        <v>2.0</v>
      </c>
      <c r="J11" s="64" t="s">
        <v>149</v>
      </c>
      <c r="K11" s="64" t="s">
        <v>150</v>
      </c>
      <c r="L11" s="65" t="s">
        <v>151</v>
      </c>
      <c r="M11" s="65" t="s">
        <v>153</v>
      </c>
      <c r="N11" s="65" t="s">
        <v>154</v>
      </c>
      <c r="O11" s="67" t="s">
        <v>155</v>
      </c>
    </row>
    <row r="12" ht="26.25" customHeight="1">
      <c r="A12" s="5" t="s">
        <v>141</v>
      </c>
      <c r="B12" s="83" t="s">
        <v>19</v>
      </c>
      <c r="C12" s="84" t="s">
        <v>74</v>
      </c>
      <c r="D12" s="19">
        <v>46290.0</v>
      </c>
      <c r="E12" s="70" t="s">
        <v>148</v>
      </c>
      <c r="F12" s="71">
        <v>100.0</v>
      </c>
      <c r="G12" s="71">
        <v>2.0</v>
      </c>
      <c r="H12" s="71">
        <v>0.0</v>
      </c>
      <c r="I12" s="72">
        <v>1.0</v>
      </c>
      <c r="J12" s="73" t="s">
        <v>159</v>
      </c>
      <c r="K12" s="73" t="s">
        <v>160</v>
      </c>
      <c r="L12" s="74" t="s">
        <v>161</v>
      </c>
      <c r="M12" s="74" t="s">
        <v>163</v>
      </c>
      <c r="N12" s="74" t="s">
        <v>164</v>
      </c>
      <c r="O12" s="75" t="s">
        <v>165</v>
      </c>
    </row>
    <row r="13" ht="26.25" customHeight="1">
      <c r="A13" s="16" t="s">
        <v>141</v>
      </c>
      <c r="B13" s="60" t="s">
        <v>22</v>
      </c>
      <c r="C13" s="60" t="s">
        <v>90</v>
      </c>
      <c r="D13" s="39">
        <v>46290.0</v>
      </c>
      <c r="E13" s="61" t="s">
        <v>148</v>
      </c>
      <c r="F13" s="62">
        <v>90.0</v>
      </c>
      <c r="G13" s="62">
        <v>4.0</v>
      </c>
      <c r="H13" s="62">
        <v>0.0</v>
      </c>
      <c r="I13" s="63">
        <v>2.0</v>
      </c>
      <c r="J13" s="64" t="s">
        <v>159</v>
      </c>
      <c r="K13" s="64" t="s">
        <v>170</v>
      </c>
      <c r="L13" s="65" t="s">
        <v>171</v>
      </c>
      <c r="M13" s="65" t="s">
        <v>172</v>
      </c>
      <c r="N13" s="65" t="s">
        <v>173</v>
      </c>
      <c r="O13" s="67" t="s">
        <v>174</v>
      </c>
    </row>
    <row r="14" ht="26.25" customHeight="1">
      <c r="A14" s="5" t="s">
        <v>156</v>
      </c>
      <c r="B14" s="68" t="s">
        <v>15</v>
      </c>
      <c r="C14" s="69" t="s">
        <v>54</v>
      </c>
      <c r="D14" s="19">
        <v>46290.0</v>
      </c>
      <c r="E14" s="70" t="s">
        <v>91</v>
      </c>
      <c r="F14" s="71">
        <v>100.0</v>
      </c>
      <c r="G14" s="71">
        <v>2.0</v>
      </c>
      <c r="H14" s="71">
        <v>0.0</v>
      </c>
      <c r="I14" s="85">
        <v>1.0</v>
      </c>
      <c r="J14" s="73" t="s">
        <v>175</v>
      </c>
      <c r="K14" s="73" t="s">
        <v>176</v>
      </c>
      <c r="L14" s="74" t="s">
        <v>177</v>
      </c>
      <c r="M14" s="74" t="s">
        <v>178</v>
      </c>
      <c r="N14" s="74" t="s">
        <v>179</v>
      </c>
      <c r="O14" s="75" t="s">
        <v>180</v>
      </c>
    </row>
    <row r="15" ht="26.25" customHeight="1">
      <c r="A15" s="16" t="s">
        <v>156</v>
      </c>
      <c r="B15" s="76" t="s">
        <v>19</v>
      </c>
      <c r="C15" s="77" t="s">
        <v>74</v>
      </c>
      <c r="D15" s="39">
        <v>46290.0</v>
      </c>
      <c r="E15" s="61" t="s">
        <v>91</v>
      </c>
      <c r="F15" s="62">
        <v>100.0</v>
      </c>
      <c r="G15" s="62">
        <v>2.0</v>
      </c>
      <c r="H15" s="62">
        <v>0.0</v>
      </c>
      <c r="I15" s="63">
        <v>0.0</v>
      </c>
      <c r="J15" s="64" t="s">
        <v>175</v>
      </c>
      <c r="K15" s="64" t="s">
        <v>181</v>
      </c>
      <c r="L15" s="65" t="s">
        <v>182</v>
      </c>
      <c r="M15" s="65" t="s">
        <v>183</v>
      </c>
      <c r="N15" s="65" t="s">
        <v>184</v>
      </c>
      <c r="O15" s="67" t="s">
        <v>185</v>
      </c>
    </row>
    <row r="16" ht="26.25" customHeight="1">
      <c r="A16" s="5" t="s">
        <v>156</v>
      </c>
      <c r="B16" s="78" t="s">
        <v>22</v>
      </c>
      <c r="C16" s="78" t="s">
        <v>90</v>
      </c>
      <c r="D16" s="19">
        <v>46290.0</v>
      </c>
      <c r="E16" s="70" t="s">
        <v>91</v>
      </c>
      <c r="F16" s="71">
        <v>99.0</v>
      </c>
      <c r="G16" s="71">
        <v>1.0</v>
      </c>
      <c r="H16" s="71">
        <v>0.0</v>
      </c>
      <c r="I16" s="72">
        <v>1.0</v>
      </c>
      <c r="J16" s="73" t="s">
        <v>175</v>
      </c>
      <c r="K16" s="73" t="s">
        <v>186</v>
      </c>
      <c r="L16" s="74" t="s">
        <v>187</v>
      </c>
      <c r="M16" s="74" t="s">
        <v>188</v>
      </c>
      <c r="N16" s="74" t="s">
        <v>189</v>
      </c>
      <c r="O16" s="75" t="s">
        <v>190</v>
      </c>
    </row>
    <row r="17" ht="26.25" customHeight="1">
      <c r="A17" s="16" t="s">
        <v>157</v>
      </c>
      <c r="B17" s="80" t="s">
        <v>15</v>
      </c>
      <c r="C17" s="81" t="s">
        <v>54</v>
      </c>
      <c r="D17" s="39">
        <v>46290.0</v>
      </c>
      <c r="E17" s="61" t="s">
        <v>148</v>
      </c>
      <c r="F17" s="62">
        <v>99.0</v>
      </c>
      <c r="G17" s="62">
        <v>2.0</v>
      </c>
      <c r="H17" s="62">
        <v>0.0</v>
      </c>
      <c r="I17" s="63">
        <v>1.0</v>
      </c>
      <c r="J17" s="64" t="s">
        <v>191</v>
      </c>
      <c r="K17" s="64" t="s">
        <v>192</v>
      </c>
      <c r="L17" s="65" t="s">
        <v>193</v>
      </c>
      <c r="M17" s="65" t="s">
        <v>194</v>
      </c>
      <c r="N17" s="65" t="s">
        <v>195</v>
      </c>
      <c r="O17" s="67" t="s">
        <v>196</v>
      </c>
    </row>
    <row r="18" ht="26.25" customHeight="1">
      <c r="A18" s="5" t="s">
        <v>157</v>
      </c>
      <c r="B18" s="83" t="s">
        <v>19</v>
      </c>
      <c r="C18" s="84" t="s">
        <v>74</v>
      </c>
      <c r="D18" s="19">
        <v>46290.0</v>
      </c>
      <c r="E18" s="70" t="s">
        <v>148</v>
      </c>
      <c r="F18" s="71">
        <v>100.0</v>
      </c>
      <c r="G18" s="71">
        <v>2.0</v>
      </c>
      <c r="H18" s="71">
        <v>0.0</v>
      </c>
      <c r="I18" s="72">
        <v>1.0</v>
      </c>
      <c r="J18" s="73" t="s">
        <v>191</v>
      </c>
      <c r="K18" s="73" t="s">
        <v>197</v>
      </c>
      <c r="L18" s="74" t="s">
        <v>198</v>
      </c>
      <c r="M18" s="74" t="s">
        <v>199</v>
      </c>
      <c r="N18" s="74" t="s">
        <v>200</v>
      </c>
      <c r="O18" s="75" t="s">
        <v>201</v>
      </c>
    </row>
    <row r="19" ht="26.25" customHeight="1">
      <c r="A19" s="16" t="s">
        <v>157</v>
      </c>
      <c r="B19" s="60" t="s">
        <v>22</v>
      </c>
      <c r="C19" s="60" t="s">
        <v>90</v>
      </c>
      <c r="D19" s="39">
        <v>46290.0</v>
      </c>
      <c r="E19" s="61" t="s">
        <v>148</v>
      </c>
      <c r="F19" s="62">
        <v>90.0</v>
      </c>
      <c r="G19" s="62">
        <v>3.0</v>
      </c>
      <c r="H19" s="62">
        <v>1.0</v>
      </c>
      <c r="I19" s="63">
        <v>2.0</v>
      </c>
      <c r="J19" s="64" t="s">
        <v>191</v>
      </c>
      <c r="K19" s="64" t="s">
        <v>202</v>
      </c>
      <c r="L19" s="65" t="s">
        <v>203</v>
      </c>
      <c r="M19" s="65" t="s">
        <v>204</v>
      </c>
      <c r="N19" s="65" t="s">
        <v>205</v>
      </c>
      <c r="O19" s="67" t="s">
        <v>206</v>
      </c>
    </row>
    <row r="20" ht="26.25" customHeight="1">
      <c r="A20" s="5" t="s">
        <v>158</v>
      </c>
      <c r="B20" s="68" t="s">
        <v>15</v>
      </c>
      <c r="C20" s="69" t="s">
        <v>54</v>
      </c>
      <c r="D20" s="19">
        <v>46291.0</v>
      </c>
      <c r="E20" s="70" t="s">
        <v>57</v>
      </c>
      <c r="F20" s="71">
        <v>98.0</v>
      </c>
      <c r="G20" s="71">
        <v>3.0</v>
      </c>
      <c r="H20" s="71">
        <v>0.0</v>
      </c>
      <c r="I20" s="72">
        <v>2.0</v>
      </c>
      <c r="J20" s="73" t="s">
        <v>207</v>
      </c>
      <c r="K20" s="73" t="s">
        <v>208</v>
      </c>
      <c r="L20" s="74" t="s">
        <v>209</v>
      </c>
      <c r="M20" s="74" t="s">
        <v>210</v>
      </c>
      <c r="N20" s="74" t="s">
        <v>211</v>
      </c>
      <c r="O20" s="75" t="s">
        <v>212</v>
      </c>
    </row>
    <row r="21" ht="26.25" customHeight="1">
      <c r="A21" s="16" t="s">
        <v>158</v>
      </c>
      <c r="B21" s="76" t="s">
        <v>19</v>
      </c>
      <c r="C21" s="77" t="s">
        <v>74</v>
      </c>
      <c r="D21" s="39">
        <v>46291.0</v>
      </c>
      <c r="E21" s="61" t="s">
        <v>57</v>
      </c>
      <c r="F21" s="62">
        <v>100.0</v>
      </c>
      <c r="G21" s="62">
        <v>3.0</v>
      </c>
      <c r="H21" s="62">
        <v>0.0</v>
      </c>
      <c r="I21" s="63">
        <v>1.0</v>
      </c>
      <c r="J21" s="64" t="s">
        <v>191</v>
      </c>
      <c r="K21" s="64" t="s">
        <v>213</v>
      </c>
      <c r="L21" s="65" t="s">
        <v>214</v>
      </c>
      <c r="M21" s="65" t="s">
        <v>215</v>
      </c>
      <c r="N21" s="65" t="s">
        <v>216</v>
      </c>
      <c r="O21" s="67" t="s">
        <v>217</v>
      </c>
    </row>
    <row r="22" ht="26.25" customHeight="1">
      <c r="A22" s="5" t="s">
        <v>158</v>
      </c>
      <c r="B22" s="78" t="s">
        <v>22</v>
      </c>
      <c r="C22" s="78" t="s">
        <v>90</v>
      </c>
      <c r="D22" s="19">
        <v>46291.0</v>
      </c>
      <c r="E22" s="70" t="s">
        <v>57</v>
      </c>
      <c r="F22" s="71">
        <v>88.0</v>
      </c>
      <c r="G22" s="71">
        <v>3.0</v>
      </c>
      <c r="H22" s="71">
        <v>0.0</v>
      </c>
      <c r="I22" s="72">
        <v>2.0</v>
      </c>
      <c r="J22" s="73" t="s">
        <v>191</v>
      </c>
      <c r="K22" s="73" t="s">
        <v>218</v>
      </c>
      <c r="L22" s="74" t="s">
        <v>219</v>
      </c>
      <c r="M22" s="74" t="s">
        <v>220</v>
      </c>
      <c r="N22" s="74" t="s">
        <v>221</v>
      </c>
      <c r="O22" s="75" t="s">
        <v>222</v>
      </c>
    </row>
    <row r="23" ht="26.25" customHeight="1">
      <c r="A23" s="16" t="s">
        <v>162</v>
      </c>
      <c r="B23" s="80" t="s">
        <v>15</v>
      </c>
      <c r="C23" s="81" t="s">
        <v>54</v>
      </c>
      <c r="D23" s="39">
        <v>46291.0</v>
      </c>
      <c r="E23" s="61" t="s">
        <v>148</v>
      </c>
      <c r="F23" s="62">
        <v>100.0</v>
      </c>
      <c r="G23" s="62">
        <v>2.0</v>
      </c>
      <c r="H23" s="62">
        <v>0.0</v>
      </c>
      <c r="I23" s="63">
        <v>2.0</v>
      </c>
      <c r="J23" s="64" t="s">
        <v>223</v>
      </c>
      <c r="K23" s="64" t="s">
        <v>224</v>
      </c>
      <c r="L23" s="65" t="s">
        <v>225</v>
      </c>
      <c r="M23" s="65" t="s">
        <v>226</v>
      </c>
      <c r="N23" s="65" t="s">
        <v>227</v>
      </c>
      <c r="O23" s="67" t="s">
        <v>228</v>
      </c>
    </row>
    <row r="24" ht="26.25" customHeight="1">
      <c r="A24" s="5" t="s">
        <v>162</v>
      </c>
      <c r="B24" s="83" t="s">
        <v>19</v>
      </c>
      <c r="C24" s="84" t="s">
        <v>74</v>
      </c>
      <c r="D24" s="19">
        <v>46291.0</v>
      </c>
      <c r="E24" s="70" t="s">
        <v>148</v>
      </c>
      <c r="F24" s="71">
        <v>100.0</v>
      </c>
      <c r="G24" s="71">
        <v>3.0</v>
      </c>
      <c r="H24" s="71">
        <v>0.0</v>
      </c>
      <c r="I24" s="72">
        <v>2.0</v>
      </c>
      <c r="J24" s="73" t="s">
        <v>223</v>
      </c>
      <c r="K24" s="73" t="s">
        <v>229</v>
      </c>
      <c r="L24" s="74" t="s">
        <v>230</v>
      </c>
      <c r="M24" s="74" t="s">
        <v>231</v>
      </c>
      <c r="N24" s="74" t="s">
        <v>232</v>
      </c>
      <c r="O24" s="75" t="s">
        <v>233</v>
      </c>
    </row>
    <row r="25" ht="26.25" customHeight="1">
      <c r="A25" s="16" t="s">
        <v>162</v>
      </c>
      <c r="B25" s="60" t="s">
        <v>22</v>
      </c>
      <c r="C25" s="60" t="s">
        <v>90</v>
      </c>
      <c r="D25" s="39">
        <v>46291.0</v>
      </c>
      <c r="E25" s="61" t="s">
        <v>148</v>
      </c>
      <c r="F25" s="62">
        <v>99.0</v>
      </c>
      <c r="G25" s="62">
        <v>3.0</v>
      </c>
      <c r="H25" s="62">
        <v>0.0</v>
      </c>
      <c r="I25" s="63">
        <v>2.0</v>
      </c>
      <c r="J25" s="64" t="s">
        <v>223</v>
      </c>
      <c r="K25" s="64" t="s">
        <v>234</v>
      </c>
      <c r="L25" s="65" t="s">
        <v>235</v>
      </c>
      <c r="M25" s="65" t="s">
        <v>236</v>
      </c>
      <c r="N25" s="65" t="s">
        <v>237</v>
      </c>
      <c r="O25" s="67" t="s">
        <v>238</v>
      </c>
    </row>
    <row r="26" ht="26.25" customHeight="1">
      <c r="A26" s="86" t="s">
        <v>166</v>
      </c>
      <c r="B26" s="68" t="s">
        <v>15</v>
      </c>
      <c r="C26" s="69" t="s">
        <v>54</v>
      </c>
      <c r="D26" s="19">
        <v>46291.0</v>
      </c>
      <c r="E26" s="70" t="s">
        <v>152</v>
      </c>
      <c r="F26" s="71">
        <v>99.0</v>
      </c>
      <c r="G26" s="71">
        <v>3.0</v>
      </c>
      <c r="H26" s="71">
        <v>0.0</v>
      </c>
      <c r="I26" s="72">
        <v>1.0</v>
      </c>
      <c r="J26" s="73" t="s">
        <v>239</v>
      </c>
      <c r="K26" s="73" t="s">
        <v>240</v>
      </c>
      <c r="L26" s="74" t="s">
        <v>241</v>
      </c>
      <c r="M26" s="74" t="s">
        <v>242</v>
      </c>
      <c r="N26" s="74" t="s">
        <v>243</v>
      </c>
      <c r="O26" s="75" t="s">
        <v>244</v>
      </c>
    </row>
    <row r="27" ht="26.25" customHeight="1">
      <c r="A27" s="22" t="s">
        <v>166</v>
      </c>
      <c r="B27" s="76" t="s">
        <v>19</v>
      </c>
      <c r="C27" s="77" t="s">
        <v>74</v>
      </c>
      <c r="D27" s="39">
        <v>46291.0</v>
      </c>
      <c r="E27" s="61" t="s">
        <v>152</v>
      </c>
      <c r="F27" s="62">
        <v>100.0</v>
      </c>
      <c r="G27" s="62">
        <v>2.0</v>
      </c>
      <c r="H27" s="62">
        <v>0.0</v>
      </c>
      <c r="I27" s="63">
        <v>1.0</v>
      </c>
      <c r="J27" s="64" t="s">
        <v>245</v>
      </c>
      <c r="K27" s="64" t="s">
        <v>246</v>
      </c>
      <c r="L27" s="65" t="s">
        <v>247</v>
      </c>
      <c r="M27" s="65" t="s">
        <v>248</v>
      </c>
      <c r="N27" s="65" t="s">
        <v>249</v>
      </c>
      <c r="O27" s="67" t="s">
        <v>250</v>
      </c>
    </row>
    <row r="28" ht="26.25" customHeight="1">
      <c r="A28" s="86" t="s">
        <v>166</v>
      </c>
      <c r="B28" s="78" t="s">
        <v>22</v>
      </c>
      <c r="C28" s="78" t="s">
        <v>90</v>
      </c>
      <c r="D28" s="19">
        <v>46291.0</v>
      </c>
      <c r="E28" s="70" t="s">
        <v>152</v>
      </c>
      <c r="F28" s="71">
        <v>88.0</v>
      </c>
      <c r="G28" s="71">
        <v>3.0</v>
      </c>
      <c r="H28" s="71">
        <v>0.0</v>
      </c>
      <c r="I28" s="72">
        <v>1.0</v>
      </c>
      <c r="J28" s="73" t="s">
        <v>251</v>
      </c>
      <c r="K28" s="73" t="s">
        <v>252</v>
      </c>
      <c r="L28" s="74" t="s">
        <v>253</v>
      </c>
      <c r="M28" s="74" t="s">
        <v>254</v>
      </c>
      <c r="N28" s="74" t="s">
        <v>255</v>
      </c>
      <c r="O28" s="75" t="s">
        <v>256</v>
      </c>
    </row>
    <row r="29" ht="26.25" customHeight="1">
      <c r="A29" s="16" t="s">
        <v>167</v>
      </c>
      <c r="B29" s="80" t="s">
        <v>15</v>
      </c>
      <c r="C29" s="81" t="s">
        <v>54</v>
      </c>
      <c r="D29" s="39">
        <v>46291.0</v>
      </c>
      <c r="E29" s="61" t="s">
        <v>57</v>
      </c>
      <c r="F29" s="62">
        <v>82.0</v>
      </c>
      <c r="G29" s="62">
        <v>3.0</v>
      </c>
      <c r="H29" s="62">
        <v>2.0</v>
      </c>
      <c r="I29" s="63">
        <v>2.0</v>
      </c>
      <c r="J29" s="64" t="s">
        <v>257</v>
      </c>
      <c r="K29" s="64" t="s">
        <v>258</v>
      </c>
      <c r="L29" s="65" t="s">
        <v>259</v>
      </c>
      <c r="M29" s="65" t="s">
        <v>260</v>
      </c>
      <c r="N29" s="65" t="s">
        <v>261</v>
      </c>
      <c r="O29" s="67" t="s">
        <v>262</v>
      </c>
    </row>
    <row r="30" ht="26.25" customHeight="1">
      <c r="A30" s="5" t="s">
        <v>167</v>
      </c>
      <c r="B30" s="83" t="s">
        <v>19</v>
      </c>
      <c r="C30" s="84" t="s">
        <v>74</v>
      </c>
      <c r="D30" s="19">
        <v>46291.0</v>
      </c>
      <c r="E30" s="70" t="s">
        <v>57</v>
      </c>
      <c r="F30" s="71">
        <v>90.0</v>
      </c>
      <c r="G30" s="71">
        <v>3.0</v>
      </c>
      <c r="H30" s="71">
        <v>1.0</v>
      </c>
      <c r="I30" s="72">
        <v>1.0</v>
      </c>
      <c r="J30" s="73" t="s">
        <v>257</v>
      </c>
      <c r="K30" s="73" t="s">
        <v>263</v>
      </c>
      <c r="L30" s="74" t="s">
        <v>264</v>
      </c>
      <c r="M30" s="74" t="s">
        <v>265</v>
      </c>
      <c r="N30" s="74" t="s">
        <v>266</v>
      </c>
      <c r="O30" s="75" t="s">
        <v>267</v>
      </c>
    </row>
    <row r="31" ht="26.25" customHeight="1">
      <c r="A31" s="16" t="s">
        <v>167</v>
      </c>
      <c r="B31" s="60" t="s">
        <v>22</v>
      </c>
      <c r="C31" s="60" t="s">
        <v>90</v>
      </c>
      <c r="D31" s="39">
        <v>46291.0</v>
      </c>
      <c r="E31" s="61" t="s">
        <v>57</v>
      </c>
      <c r="F31" s="62">
        <v>78.0</v>
      </c>
      <c r="G31" s="62">
        <v>3.0</v>
      </c>
      <c r="H31" s="62">
        <v>1.0</v>
      </c>
      <c r="I31" s="63">
        <v>2.0</v>
      </c>
      <c r="J31" s="64" t="s">
        <v>257</v>
      </c>
      <c r="K31" s="64" t="s">
        <v>268</v>
      </c>
      <c r="L31" s="65" t="s">
        <v>269</v>
      </c>
      <c r="M31" s="65" t="s">
        <v>270</v>
      </c>
      <c r="N31" s="65" t="s">
        <v>271</v>
      </c>
      <c r="O31" s="67" t="s">
        <v>272</v>
      </c>
    </row>
    <row r="32" ht="26.25" customHeight="1">
      <c r="A32" s="5" t="s">
        <v>168</v>
      </c>
      <c r="B32" s="68" t="s">
        <v>15</v>
      </c>
      <c r="C32" s="69" t="s">
        <v>54</v>
      </c>
      <c r="D32" s="19">
        <v>46291.0</v>
      </c>
      <c r="E32" s="70" t="s">
        <v>148</v>
      </c>
      <c r="F32" s="71">
        <v>95.0</v>
      </c>
      <c r="G32" s="71">
        <v>4.0</v>
      </c>
      <c r="H32" s="71">
        <v>0.0</v>
      </c>
      <c r="I32" s="72">
        <v>2.0</v>
      </c>
      <c r="J32" s="73" t="s">
        <v>273</v>
      </c>
      <c r="K32" s="73" t="s">
        <v>274</v>
      </c>
      <c r="L32" s="74" t="s">
        <v>275</v>
      </c>
      <c r="M32" s="74" t="s">
        <v>276</v>
      </c>
      <c r="N32" s="74" t="s">
        <v>277</v>
      </c>
      <c r="O32" s="75" t="s">
        <v>278</v>
      </c>
    </row>
    <row r="33" ht="26.25" customHeight="1">
      <c r="A33" s="16" t="s">
        <v>168</v>
      </c>
      <c r="B33" s="76" t="s">
        <v>19</v>
      </c>
      <c r="C33" s="77" t="s">
        <v>74</v>
      </c>
      <c r="D33" s="39">
        <v>46291.0</v>
      </c>
      <c r="E33" s="61" t="s">
        <v>148</v>
      </c>
      <c r="F33" s="62">
        <v>100.0</v>
      </c>
      <c r="G33" s="62">
        <v>4.0</v>
      </c>
      <c r="H33" s="62">
        <v>0.0</v>
      </c>
      <c r="I33" s="63">
        <v>1.0</v>
      </c>
      <c r="J33" s="64" t="s">
        <v>279</v>
      </c>
      <c r="K33" s="64" t="s">
        <v>280</v>
      </c>
      <c r="L33" s="65" t="s">
        <v>281</v>
      </c>
      <c r="M33" s="65" t="s">
        <v>282</v>
      </c>
      <c r="N33" s="65" t="s">
        <v>283</v>
      </c>
      <c r="O33" s="67" t="s">
        <v>284</v>
      </c>
    </row>
    <row r="34" ht="26.25" customHeight="1">
      <c r="A34" s="5" t="s">
        <v>168</v>
      </c>
      <c r="B34" s="78" t="s">
        <v>22</v>
      </c>
      <c r="C34" s="78" t="s">
        <v>90</v>
      </c>
      <c r="D34" s="19">
        <v>46291.0</v>
      </c>
      <c r="E34" s="70" t="s">
        <v>148</v>
      </c>
      <c r="F34" s="71">
        <v>70.0</v>
      </c>
      <c r="G34" s="71">
        <v>5.0</v>
      </c>
      <c r="H34" s="71">
        <v>1.0</v>
      </c>
      <c r="I34" s="72">
        <v>2.0</v>
      </c>
      <c r="J34" s="73" t="s">
        <v>285</v>
      </c>
      <c r="K34" s="73" t="s">
        <v>286</v>
      </c>
      <c r="L34" s="74" t="s">
        <v>287</v>
      </c>
      <c r="M34" s="74" t="s">
        <v>288</v>
      </c>
      <c r="N34" s="74" t="s">
        <v>289</v>
      </c>
      <c r="O34" s="75" t="s">
        <v>290</v>
      </c>
    </row>
    <row r="35" ht="26.25" customHeight="1">
      <c r="A35" s="16" t="s">
        <v>169</v>
      </c>
      <c r="B35" s="80" t="s">
        <v>15</v>
      </c>
      <c r="C35" s="81" t="s">
        <v>54</v>
      </c>
      <c r="D35" s="39">
        <v>46291.0</v>
      </c>
      <c r="E35" s="61" t="s">
        <v>148</v>
      </c>
      <c r="F35" s="62">
        <v>98.0</v>
      </c>
      <c r="G35" s="62">
        <v>3.0</v>
      </c>
      <c r="H35" s="62">
        <v>0.0</v>
      </c>
      <c r="I35" s="63">
        <v>2.0</v>
      </c>
      <c r="J35" s="64" t="s">
        <v>291</v>
      </c>
      <c r="K35" s="64" t="s">
        <v>292</v>
      </c>
      <c r="L35" s="65" t="s">
        <v>293</v>
      </c>
      <c r="M35" s="65" t="s">
        <v>294</v>
      </c>
      <c r="N35" s="65" t="s">
        <v>295</v>
      </c>
      <c r="O35" s="67" t="s">
        <v>296</v>
      </c>
    </row>
    <row r="36" ht="26.25" customHeight="1">
      <c r="A36" s="5" t="s">
        <v>169</v>
      </c>
      <c r="B36" s="83" t="s">
        <v>19</v>
      </c>
      <c r="C36" s="84" t="s">
        <v>74</v>
      </c>
      <c r="D36" s="19">
        <v>46291.0</v>
      </c>
      <c r="E36" s="70" t="s">
        <v>148</v>
      </c>
      <c r="F36" s="71">
        <v>100.0</v>
      </c>
      <c r="G36" s="71">
        <v>3.0</v>
      </c>
      <c r="H36" s="71">
        <v>0.0</v>
      </c>
      <c r="I36" s="72">
        <v>2.0</v>
      </c>
      <c r="J36" s="73" t="s">
        <v>297</v>
      </c>
      <c r="K36" s="73" t="s">
        <v>298</v>
      </c>
      <c r="L36" s="74" t="s">
        <v>299</v>
      </c>
      <c r="M36" s="74" t="s">
        <v>300</v>
      </c>
      <c r="N36" s="74" t="s">
        <v>301</v>
      </c>
      <c r="O36" s="75" t="s">
        <v>302</v>
      </c>
    </row>
    <row r="37" ht="26.25" customHeight="1">
      <c r="A37" s="16" t="s">
        <v>169</v>
      </c>
      <c r="B37" s="60" t="s">
        <v>22</v>
      </c>
      <c r="C37" s="60" t="s">
        <v>90</v>
      </c>
      <c r="D37" s="39">
        <v>46291.0</v>
      </c>
      <c r="E37" s="61" t="s">
        <v>148</v>
      </c>
      <c r="F37" s="62">
        <v>72.0</v>
      </c>
      <c r="G37" s="62">
        <v>4.0</v>
      </c>
      <c r="H37" s="62">
        <v>1.0</v>
      </c>
      <c r="I37" s="63">
        <v>2.0</v>
      </c>
      <c r="J37" s="64" t="s">
        <v>291</v>
      </c>
      <c r="K37" s="64" t="s">
        <v>303</v>
      </c>
      <c r="L37" s="65" t="s">
        <v>304</v>
      </c>
      <c r="M37" s="65" t="s">
        <v>305</v>
      </c>
      <c r="N37" s="65" t="s">
        <v>306</v>
      </c>
      <c r="O37" s="67" t="s">
        <v>307</v>
      </c>
    </row>
  </sheetData>
  <dataValidations>
    <dataValidation type="list" allowBlank="1" sqref="E2:E37">
      <formula1>"A,B,C,D,E"</formula1>
    </dataValidation>
    <dataValidation type="list" allowBlank="1" sqref="B2:B37">
      <formula1>"ChatGPT,Gemini,Claude"</formula1>
    </dataValidation>
    <dataValidation type="custom" allowBlank="1" showDropDown="1" sqref="D2:D37">
      <formula1>OR(NOT(ISERROR(DATEVALUE(D2))), AND(ISNUMBER(D2), LEFT(CELL("format", D2))="D"))</formula1>
    </dataValidation>
    <dataValidation allowBlank="1" showDropDown="1" sqref="A2:A37"/>
    <dataValidation type="list" allowBlank="1" sqref="C2:C37">
      <formula1>"Gemini 3.6 Flash,Sonnet 5,GPT-5.6 Luna"</formula1>
    </dataValidation>
    <dataValidation type="custom" allowBlank="1" showDropDown="1" sqref="F2:H37">
      <formula1>AND(ISNUMBER(F2),(NOT(OR(NOT(ISERROR(DATEVALUE(F2))), AND(ISNUMBER(F2), LEFT(CELL("format", F2))="D")))))</formula1>
    </dataValidation>
    <dataValidation allowBlank="1" showDropDown="1" sqref="J2:K37"/>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15</v>
      </c>
      <c r="C1" s="1" t="s">
        <v>19</v>
      </c>
      <c r="D1" s="1" t="s">
        <v>22</v>
      </c>
      <c r="E1" s="1" t="s">
        <v>25</v>
      </c>
      <c r="F1" s="3" t="s">
        <v>29</v>
      </c>
      <c r="G1" s="3" t="s">
        <v>31</v>
      </c>
      <c r="H1" s="3" t="s">
        <v>36</v>
      </c>
      <c r="I1" s="3" t="s">
        <v>40</v>
      </c>
      <c r="J1" s="3" t="s">
        <v>42</v>
      </c>
      <c r="K1" s="3" t="s">
        <v>45</v>
      </c>
      <c r="L1" s="3" t="s">
        <v>46</v>
      </c>
      <c r="M1" s="3" t="s">
        <v>48</v>
      </c>
      <c r="N1" s="3" t="s">
        <v>49</v>
      </c>
      <c r="O1" s="3" t="s">
        <v>50</v>
      </c>
      <c r="P1" s="4"/>
      <c r="Q1" s="4"/>
      <c r="R1" s="4"/>
      <c r="S1" s="4"/>
      <c r="T1" s="4"/>
      <c r="U1" s="4"/>
      <c r="V1" s="4"/>
      <c r="W1" s="4"/>
      <c r="X1" s="4"/>
      <c r="Y1" s="4"/>
      <c r="Z1" s="4"/>
    </row>
    <row r="2" ht="22.5" customHeight="1">
      <c r="A2" s="5" t="s">
        <v>47</v>
      </c>
      <c r="B2" s="21" t="str">
        <f>IFERROR(__xludf.DUMMYFUNCTION("IFERROR(INDEX(FILTER('Respostas LLM'!$E:$E,'Respostas LLM'!$A:$A=$A2,'Respostas LLM'!$B:$B=""ChatGPT""),1),"""")"),"A")</f>
        <v>A</v>
      </c>
      <c r="C2" s="21" t="str">
        <f>IFERROR(__xludf.DUMMYFUNCTION("IFERROR(INDEX(FILTER('Respostas LLM'!$E:$E,'Respostas LLM'!$A:$A=$A2,'Respostas LLM'!$B:$B=""Gemini""),1),"""")"),"B")</f>
        <v>B</v>
      </c>
      <c r="D2" s="21" t="str">
        <f>IFERROR(__xludf.DUMMYFUNCTION("IFERROR(INDEX(FILTER('Respostas LLM'!$E:$E,'Respostas LLM'!$A:$A=$A2,'Respostas LLM'!$B:$B=""Claude""),1),"""")"),"C")</f>
        <v>C</v>
      </c>
      <c r="E2" s="21" t="str">
        <f t="shared" ref="E2:E13" si="1">IF(OR(B2="",C2="",D2=""),"",IF(AND(B2=C2,C2=D2),"3/3",IF(OR(B2=C2,B2=D2,C2=D2),"2/3","0/3")))</f>
        <v>0/3</v>
      </c>
      <c r="F2" s="21" t="str">
        <f t="shared" ref="F2:F13" si="2">IF(OR(B2="",C2="",D2=""),"",IF(B2=C2,B2,IF(B2=D2,B2,IF(C2=D2,C2,"Sem maioria"))))</f>
        <v>Sem maioria</v>
      </c>
      <c r="G2" s="21" t="str">
        <f>IFERROR(__xludf.DUMMYFUNCTION("IFERROR(INDEX(FILTER(Gabarito_INEP!$B:$B,Gabarito_INEP!$A:$A=$A2),1),"""")"),"A")</f>
        <v>A</v>
      </c>
      <c r="H2" s="21" t="str">
        <f t="shared" ref="H2:H13" si="3">IF(G2="","",COUNTIF(B2:D2,G2)&amp;"/3")</f>
        <v>1/3</v>
      </c>
      <c r="I2" s="49">
        <f>IFERROR(__xludf.DUMMYFUNCTION("IFERROR(AVERAGE(FILTER('Respostas LLM'!$F:$F,'Respostas LLM'!$A:$A=$A2)),"""")"),92.66666666666667)</f>
        <v>92.66666667</v>
      </c>
      <c r="J2" s="49">
        <f>IFERROR(__xludf.DUMMYFUNCTION("IFERROR(AVERAGE(FILTER('Respostas LLM'!$G:$G,'Respostas LLM'!$A:$A=$A2,'Respostas LLM'!$G:$G&lt;&gt;"""")),"""")"),3.0)</f>
        <v>3</v>
      </c>
      <c r="K2" s="49">
        <f>IFERROR(__xludf.DUMMYFUNCTION("IFERROR(AVERAGE(FILTER('Respostas LLM'!$H:$H,'Respostas LLM'!$A:$A=$A2)),"""")"),0.3333333333333333)</f>
        <v>0.3333333333</v>
      </c>
      <c r="L2" s="49">
        <f>IFERROR(__xludf.DUMMYFUNCTION("IFERROR(MAX(FILTER('Respostas LLM'!$H:$H,'Respostas LLM'!$A:$A=$A2)),"""")"),1.0)</f>
        <v>1</v>
      </c>
      <c r="M2" s="49">
        <f>IFERROR(__xludf.DUMMYFUNCTION("IFERROR(AVERAGE(FILTER('Respostas LLM'!$I:$I,'Respostas LLM'!$A:$A=$A2)),"""")"),1.6666666666666667)</f>
        <v>1.666666667</v>
      </c>
      <c r="N2" s="21" t="str">
        <f t="shared" ref="N2:N13" si="4">IF(OR(F2="",G2=""),"",IF(F2="Sem maioria","Sem maioria",IF(F2=G2,"Sim","Não")))</f>
        <v>Sem maioria</v>
      </c>
      <c r="O2" s="55" t="str">
        <f t="shared" ref="O2:O13" si="5">IF(G2="","",IF(G2="ANULADA","Questão anulada",IF(E2="3/3",IF(H2="3/3","Consenso unânime correto","Consenso unânime incorreto"),IF(E2="2/3",IF(H2="2/3","Maioria correta — 1 LLM divergiu",IF(H2="1/3","Maioria incorreta — 1 LLM acertou","Maioria incorreta — nenhuma LLM acertou")),IF(E2="0/3",IF(H2="1/3","Sem consenso — 1 LLM acertou","Sem consenso — nenhuma LLM acertou"),"")))))</f>
        <v>Sem consenso — 1 LLM acertou</v>
      </c>
      <c r="P2" s="4"/>
      <c r="Q2" s="4"/>
      <c r="R2" s="4"/>
      <c r="S2" s="4"/>
      <c r="T2" s="4"/>
      <c r="U2" s="4"/>
      <c r="V2" s="4"/>
      <c r="W2" s="4"/>
      <c r="X2" s="4"/>
      <c r="Y2" s="4"/>
      <c r="Z2" s="4"/>
    </row>
    <row r="3" ht="22.5" customHeight="1">
      <c r="A3" s="16" t="s">
        <v>100</v>
      </c>
      <c r="B3" s="57" t="str">
        <f>IFERROR(__xludf.DUMMYFUNCTION("IFERROR(INDEX(FILTER('Respostas LLM'!$E:$E,'Respostas LLM'!$A:$A=$A3,'Respostas LLM'!$B:$B=""ChatGPT""),1),"""")"),"B")</f>
        <v>B</v>
      </c>
      <c r="C3" s="57" t="str">
        <f>IFERROR(__xludf.DUMMYFUNCTION("IFERROR(INDEX(FILTER('Respostas LLM'!$E:$E,'Respostas LLM'!$A:$A=$A3,'Respostas LLM'!$B:$B=""Gemini""),1),"""")"),"B")</f>
        <v>B</v>
      </c>
      <c r="D3" s="57" t="str">
        <f>IFERROR(__xludf.DUMMYFUNCTION("IFERROR(INDEX(FILTER('Respostas LLM'!$E:$E,'Respostas LLM'!$A:$A=$A3,'Respostas LLM'!$B:$B=""Claude""),1),"""")"),"B")</f>
        <v>B</v>
      </c>
      <c r="E3" s="57" t="str">
        <f t="shared" si="1"/>
        <v>3/3</v>
      </c>
      <c r="F3" s="57" t="str">
        <f t="shared" si="2"/>
        <v>B</v>
      </c>
      <c r="G3" s="57" t="str">
        <f>IFERROR(__xludf.DUMMYFUNCTION("IFERROR(INDEX(FILTER(Gabarito_INEP!$B:$B,Gabarito_INEP!$A:$A=$A3),1),"""")"),"B")</f>
        <v>B</v>
      </c>
      <c r="H3" s="57" t="str">
        <f t="shared" si="3"/>
        <v>3/3</v>
      </c>
      <c r="I3" s="59">
        <f>IFERROR(__xludf.DUMMYFUNCTION("IFERROR(AVERAGE(FILTER('Respostas LLM'!$F:$F,'Respostas LLM'!$A:$A=$A3)),"""")"),96.0)</f>
        <v>96</v>
      </c>
      <c r="J3" s="59">
        <f>IFERROR(__xludf.DUMMYFUNCTION("IFERROR(AVERAGE(FILTER('Respostas LLM'!$G:$G,'Respostas LLM'!$A:$A=$A3,'Respostas LLM'!$G:$G&lt;&gt;"""")),"""")"),2.6666666666666665)</f>
        <v>2.666666667</v>
      </c>
      <c r="K3" s="59">
        <f>IFERROR(__xludf.DUMMYFUNCTION("IFERROR(AVERAGE(FILTER('Respostas LLM'!$H:$H,'Respostas LLM'!$A:$A=$A3)),"""")"),0.0)</f>
        <v>0</v>
      </c>
      <c r="L3" s="59">
        <f>IFERROR(__xludf.DUMMYFUNCTION("IFERROR(MAX(FILTER('Respostas LLM'!$H:$H,'Respostas LLM'!$A:$A=$A3)),"""")"),0.0)</f>
        <v>0</v>
      </c>
      <c r="M3" s="59">
        <f>IFERROR(__xludf.DUMMYFUNCTION("IFERROR(AVERAGE(FILTER('Respostas LLM'!$I:$I,'Respostas LLM'!$A:$A=$A3)),"""")"),1.3333333333333333)</f>
        <v>1.333333333</v>
      </c>
      <c r="N3" s="57" t="str">
        <f t="shared" si="4"/>
        <v>Sim</v>
      </c>
      <c r="O3" s="66" t="str">
        <f t="shared" si="5"/>
        <v>Consenso unânime correto</v>
      </c>
      <c r="P3" s="4"/>
      <c r="Q3" s="4"/>
      <c r="R3" s="4"/>
      <c r="S3" s="4"/>
      <c r="T3" s="4"/>
      <c r="U3" s="4"/>
      <c r="V3" s="4"/>
      <c r="W3" s="4"/>
      <c r="X3" s="4"/>
      <c r="Y3" s="4"/>
      <c r="Z3" s="4"/>
    </row>
    <row r="4" ht="22.5" customHeight="1">
      <c r="A4" s="5" t="s">
        <v>128</v>
      </c>
      <c r="B4" s="21" t="str">
        <f>IFERROR(__xludf.DUMMYFUNCTION("IFERROR(INDEX(FILTER('Respostas LLM'!$E:$E,'Respostas LLM'!$A:$A=$A4,'Respostas LLM'!$B:$B=""ChatGPT""),1),"""")"),"C")</f>
        <v>C</v>
      </c>
      <c r="C4" s="21" t="str">
        <f>IFERROR(__xludf.DUMMYFUNCTION("IFERROR(INDEX(FILTER('Respostas LLM'!$E:$E,'Respostas LLM'!$A:$A=$A4,'Respostas LLM'!$B:$B=""Gemini""),1),"""")"),"C")</f>
        <v>C</v>
      </c>
      <c r="D4" s="21" t="str">
        <f>IFERROR(__xludf.DUMMYFUNCTION("IFERROR(INDEX(FILTER('Respostas LLM'!$E:$E,'Respostas LLM'!$A:$A=$A4,'Respostas LLM'!$B:$B=""Claude""),1),"""")"),"C")</f>
        <v>C</v>
      </c>
      <c r="E4" s="21" t="str">
        <f t="shared" si="1"/>
        <v>3/3</v>
      </c>
      <c r="F4" s="21" t="str">
        <f t="shared" si="2"/>
        <v>C</v>
      </c>
      <c r="G4" s="21" t="str">
        <f>IFERROR(__xludf.DUMMYFUNCTION("IFERROR(INDEX(FILTER(Gabarito_INEP!$B:$B,Gabarito_INEP!$A:$A=$A4),1),"""")"),"E")</f>
        <v>E</v>
      </c>
      <c r="H4" s="21" t="str">
        <f t="shared" si="3"/>
        <v>0/3</v>
      </c>
      <c r="I4" s="49">
        <f>IFERROR(__xludf.DUMMYFUNCTION("IFERROR(AVERAGE(FILTER('Respostas LLM'!$F:$F,'Respostas LLM'!$A:$A=$A4)),"""")"),96.66666666666667)</f>
        <v>96.66666667</v>
      </c>
      <c r="J4" s="49">
        <f>IFERROR(__xludf.DUMMYFUNCTION("IFERROR(AVERAGE(FILTER('Respostas LLM'!$G:$G,'Respostas LLM'!$A:$A=$A4,'Respostas LLM'!$G:$G&lt;&gt;"""")),"""")"),2.3333333333333335)</f>
        <v>2.333333333</v>
      </c>
      <c r="K4" s="49">
        <f>IFERROR(__xludf.DUMMYFUNCTION("IFERROR(AVERAGE(FILTER('Respostas LLM'!$H:$H,'Respostas LLM'!$A:$A=$A4)),"""")"),0.0)</f>
        <v>0</v>
      </c>
      <c r="L4" s="49">
        <f>IFERROR(__xludf.DUMMYFUNCTION("IFERROR(MAX(FILTER('Respostas LLM'!$H:$H,'Respostas LLM'!$A:$A=$A4)),"""")"),0.0)</f>
        <v>0</v>
      </c>
      <c r="M4" s="49">
        <f>IFERROR(__xludf.DUMMYFUNCTION("IFERROR(AVERAGE(FILTER('Respostas LLM'!$I:$I,'Respostas LLM'!$A:$A=$A4)),"""")"),1.0)</f>
        <v>1</v>
      </c>
      <c r="N4" s="21" t="str">
        <f t="shared" si="4"/>
        <v>Não</v>
      </c>
      <c r="O4" s="55" t="str">
        <f t="shared" si="5"/>
        <v>Consenso unânime incorreto</v>
      </c>
      <c r="P4" s="4"/>
      <c r="Q4" s="4"/>
      <c r="R4" s="4"/>
      <c r="S4" s="4"/>
      <c r="T4" s="4"/>
      <c r="U4" s="4"/>
      <c r="V4" s="4"/>
      <c r="W4" s="4"/>
      <c r="X4" s="4"/>
      <c r="Y4" s="4"/>
      <c r="Z4" s="4"/>
    </row>
    <row r="5" ht="22.5" customHeight="1">
      <c r="A5" s="16" t="s">
        <v>141</v>
      </c>
      <c r="B5" s="57" t="str">
        <f>IFERROR(__xludf.DUMMYFUNCTION("IFERROR(INDEX(FILTER('Respostas LLM'!$E:$E,'Respostas LLM'!$A:$A=$A5,'Respostas LLM'!$B:$B=""ChatGPT""),1),"""")"),"D")</f>
        <v>D</v>
      </c>
      <c r="C5" s="57" t="str">
        <f>IFERROR(__xludf.DUMMYFUNCTION("IFERROR(INDEX(FILTER('Respostas LLM'!$E:$E,'Respostas LLM'!$A:$A=$A5,'Respostas LLM'!$B:$B=""Gemini""),1),"""")"),"D")</f>
        <v>D</v>
      </c>
      <c r="D5" s="57" t="str">
        <f>IFERROR(__xludf.DUMMYFUNCTION("IFERROR(INDEX(FILTER('Respostas LLM'!$E:$E,'Respostas LLM'!$A:$A=$A5,'Respostas LLM'!$B:$B=""Claude""),1),"""")"),"D")</f>
        <v>D</v>
      </c>
      <c r="E5" s="57" t="str">
        <f t="shared" si="1"/>
        <v>3/3</v>
      </c>
      <c r="F5" s="57" t="str">
        <f t="shared" si="2"/>
        <v>D</v>
      </c>
      <c r="G5" s="57" t="str">
        <f>IFERROR(__xludf.DUMMYFUNCTION("IFERROR(INDEX(FILTER(Gabarito_INEP!$B:$B,Gabarito_INEP!$A:$A=$A5),1),"""")"),"D")</f>
        <v>D</v>
      </c>
      <c r="H5" s="57" t="str">
        <f t="shared" si="3"/>
        <v>3/3</v>
      </c>
      <c r="I5" s="59">
        <f>IFERROR(__xludf.DUMMYFUNCTION("IFERROR(AVERAGE(FILTER('Respostas LLM'!$F:$F,'Respostas LLM'!$A:$A=$A5)),"""")"),96.0)</f>
        <v>96</v>
      </c>
      <c r="J5" s="59">
        <f>IFERROR(__xludf.DUMMYFUNCTION("IFERROR(AVERAGE(FILTER('Respostas LLM'!$G:$G,'Respostas LLM'!$A:$A=$A5,'Respostas LLM'!$G:$G&lt;&gt;"""")),"""")"),3.0)</f>
        <v>3</v>
      </c>
      <c r="K5" s="59">
        <f>IFERROR(__xludf.DUMMYFUNCTION("IFERROR(AVERAGE(FILTER('Respostas LLM'!$H:$H,'Respostas LLM'!$A:$A=$A5)),"""")"),0.0)</f>
        <v>0</v>
      </c>
      <c r="L5" s="59">
        <f>IFERROR(__xludf.DUMMYFUNCTION("IFERROR(MAX(FILTER('Respostas LLM'!$H:$H,'Respostas LLM'!$A:$A=$A5)),"""")"),0.0)</f>
        <v>0</v>
      </c>
      <c r="M5" s="59">
        <f>IFERROR(__xludf.DUMMYFUNCTION("IFERROR(AVERAGE(FILTER('Respostas LLM'!$I:$I,'Respostas LLM'!$A:$A=$A5)),"""")"),1.6666666666666667)</f>
        <v>1.666666667</v>
      </c>
      <c r="N5" s="57" t="str">
        <f t="shared" si="4"/>
        <v>Sim</v>
      </c>
      <c r="O5" s="66" t="str">
        <f t="shared" si="5"/>
        <v>Consenso unânime correto</v>
      </c>
      <c r="P5" s="4"/>
      <c r="Q5" s="4"/>
      <c r="R5" s="4"/>
      <c r="S5" s="4"/>
      <c r="T5" s="4"/>
      <c r="U5" s="4"/>
      <c r="V5" s="4"/>
      <c r="W5" s="4"/>
      <c r="X5" s="4"/>
      <c r="Y5" s="4"/>
      <c r="Z5" s="4"/>
    </row>
    <row r="6" ht="22.5" customHeight="1">
      <c r="A6" s="5" t="s">
        <v>156</v>
      </c>
      <c r="B6" s="21" t="str">
        <f>IFERROR(__xludf.DUMMYFUNCTION("IFERROR(INDEX(FILTER('Respostas LLM'!$E:$E,'Respostas LLM'!$A:$A=$A6,'Respostas LLM'!$B:$B=""ChatGPT""),1),"""")"),"C")</f>
        <v>C</v>
      </c>
      <c r="C6" s="21" t="str">
        <f>IFERROR(__xludf.DUMMYFUNCTION("IFERROR(INDEX(FILTER('Respostas LLM'!$E:$E,'Respostas LLM'!$A:$A=$A6,'Respostas LLM'!$B:$B=""Gemini""),1),"""")"),"C")</f>
        <v>C</v>
      </c>
      <c r="D6" s="21" t="str">
        <f>IFERROR(__xludf.DUMMYFUNCTION("IFERROR(INDEX(FILTER('Respostas LLM'!$E:$E,'Respostas LLM'!$A:$A=$A6,'Respostas LLM'!$B:$B=""Claude""),1),"""")"),"C")</f>
        <v>C</v>
      </c>
      <c r="E6" s="21" t="str">
        <f t="shared" si="1"/>
        <v>3/3</v>
      </c>
      <c r="F6" s="21" t="str">
        <f t="shared" si="2"/>
        <v>C</v>
      </c>
      <c r="G6" s="21" t="str">
        <f>IFERROR(__xludf.DUMMYFUNCTION("IFERROR(INDEX(FILTER(Gabarito_INEP!$B:$B,Gabarito_INEP!$A:$A=$A6),1),"""")"),"C")</f>
        <v>C</v>
      </c>
      <c r="H6" s="21" t="str">
        <f t="shared" si="3"/>
        <v>3/3</v>
      </c>
      <c r="I6" s="49">
        <f>IFERROR(__xludf.DUMMYFUNCTION("IFERROR(AVERAGE(FILTER('Respostas LLM'!$F:$F,'Respostas LLM'!$A:$A=$A6)),"""")"),99.66666666666667)</f>
        <v>99.66666667</v>
      </c>
      <c r="J6" s="49">
        <f>IFERROR(__xludf.DUMMYFUNCTION("IFERROR(AVERAGE(FILTER('Respostas LLM'!$G:$G,'Respostas LLM'!$A:$A=$A6,'Respostas LLM'!$G:$G&lt;&gt;"""")),"""")"),1.6666666666666667)</f>
        <v>1.666666667</v>
      </c>
      <c r="K6" s="49">
        <f>IFERROR(__xludf.DUMMYFUNCTION("IFERROR(AVERAGE(FILTER('Respostas LLM'!$H:$H,'Respostas LLM'!$A:$A=$A6)),"""")"),0.0)</f>
        <v>0</v>
      </c>
      <c r="L6" s="49">
        <f>IFERROR(__xludf.DUMMYFUNCTION("IFERROR(MAX(FILTER('Respostas LLM'!$H:$H,'Respostas LLM'!$A:$A=$A6)),"""")"),0.0)</f>
        <v>0</v>
      </c>
      <c r="M6" s="49">
        <f>IFERROR(__xludf.DUMMYFUNCTION("IFERROR(AVERAGE(FILTER('Respostas LLM'!$I:$I,'Respostas LLM'!$A:$A=$A6)),"""")"),0.6666666666666666)</f>
        <v>0.6666666667</v>
      </c>
      <c r="N6" s="21" t="str">
        <f t="shared" si="4"/>
        <v>Sim</v>
      </c>
      <c r="O6" s="55" t="str">
        <f t="shared" si="5"/>
        <v>Consenso unânime correto</v>
      </c>
      <c r="P6" s="4"/>
      <c r="Q6" s="4"/>
      <c r="R6" s="4"/>
      <c r="S6" s="4"/>
      <c r="T6" s="4"/>
      <c r="U6" s="4"/>
      <c r="V6" s="4"/>
      <c r="W6" s="4"/>
      <c r="X6" s="4"/>
      <c r="Y6" s="4"/>
      <c r="Z6" s="4"/>
    </row>
    <row r="7" ht="22.5" customHeight="1">
      <c r="A7" s="16" t="s">
        <v>157</v>
      </c>
      <c r="B7" s="57" t="str">
        <f>IFERROR(__xludf.DUMMYFUNCTION("IFERROR(INDEX(FILTER('Respostas LLM'!$E:$E,'Respostas LLM'!$A:$A=$A7,'Respostas LLM'!$B:$B=""ChatGPT""),1),"""")"),"D")</f>
        <v>D</v>
      </c>
      <c r="C7" s="57" t="str">
        <f>IFERROR(__xludf.DUMMYFUNCTION("IFERROR(INDEX(FILTER('Respostas LLM'!$E:$E,'Respostas LLM'!$A:$A=$A7,'Respostas LLM'!$B:$B=""Gemini""),1),"""")"),"D")</f>
        <v>D</v>
      </c>
      <c r="D7" s="57" t="str">
        <f>IFERROR(__xludf.DUMMYFUNCTION("IFERROR(INDEX(FILTER('Respostas LLM'!$E:$E,'Respostas LLM'!$A:$A=$A7,'Respostas LLM'!$B:$B=""Claude""),1),"""")"),"D")</f>
        <v>D</v>
      </c>
      <c r="E7" s="57" t="str">
        <f t="shared" si="1"/>
        <v>3/3</v>
      </c>
      <c r="F7" s="57" t="str">
        <f t="shared" si="2"/>
        <v>D</v>
      </c>
      <c r="G7" s="57" t="str">
        <f>IFERROR(__xludf.DUMMYFUNCTION("IFERROR(INDEX(FILTER(Gabarito_INEP!$B:$B,Gabarito_INEP!$A:$A=$A7),1),"""")"),"D")</f>
        <v>D</v>
      </c>
      <c r="H7" s="57" t="str">
        <f t="shared" si="3"/>
        <v>3/3</v>
      </c>
      <c r="I7" s="59">
        <f>IFERROR(__xludf.DUMMYFUNCTION("IFERROR(AVERAGE(FILTER('Respostas LLM'!$F:$F,'Respostas LLM'!$A:$A=$A7)),"""")"),96.33333333333333)</f>
        <v>96.33333333</v>
      </c>
      <c r="J7" s="59">
        <f>IFERROR(__xludf.DUMMYFUNCTION("IFERROR(AVERAGE(FILTER('Respostas LLM'!$G:$G,'Respostas LLM'!$A:$A=$A7,'Respostas LLM'!$G:$G&lt;&gt;"""")),"""")"),2.3333333333333335)</f>
        <v>2.333333333</v>
      </c>
      <c r="K7" s="59">
        <f>IFERROR(__xludf.DUMMYFUNCTION("IFERROR(AVERAGE(FILTER('Respostas LLM'!$H:$H,'Respostas LLM'!$A:$A=$A7)),"""")"),0.3333333333333333)</f>
        <v>0.3333333333</v>
      </c>
      <c r="L7" s="59">
        <f>IFERROR(__xludf.DUMMYFUNCTION("IFERROR(MAX(FILTER('Respostas LLM'!$H:$H,'Respostas LLM'!$A:$A=$A7)),"""")"),1.0)</f>
        <v>1</v>
      </c>
      <c r="M7" s="59">
        <f>IFERROR(__xludf.DUMMYFUNCTION("IFERROR(AVERAGE(FILTER('Respostas LLM'!$I:$I,'Respostas LLM'!$A:$A=$A7)),"""")"),1.3333333333333333)</f>
        <v>1.333333333</v>
      </c>
      <c r="N7" s="57" t="str">
        <f t="shared" si="4"/>
        <v>Sim</v>
      </c>
      <c r="O7" s="66" t="str">
        <f t="shared" si="5"/>
        <v>Consenso unânime correto</v>
      </c>
      <c r="P7" s="4"/>
      <c r="Q7" s="4"/>
      <c r="R7" s="4"/>
      <c r="S7" s="4"/>
      <c r="T7" s="4"/>
      <c r="U7" s="4"/>
      <c r="V7" s="4"/>
      <c r="W7" s="4"/>
      <c r="X7" s="4"/>
      <c r="Y7" s="4"/>
      <c r="Z7" s="4"/>
    </row>
    <row r="8" ht="22.5" customHeight="1">
      <c r="A8" s="5" t="s">
        <v>158</v>
      </c>
      <c r="B8" s="21" t="str">
        <f>IFERROR(__xludf.DUMMYFUNCTION("IFERROR(INDEX(FILTER('Respostas LLM'!$E:$E,'Respostas LLM'!$A:$A=$A8,'Respostas LLM'!$B:$B=""ChatGPT""),1),"""")"),"A")</f>
        <v>A</v>
      </c>
      <c r="C8" s="21" t="str">
        <f>IFERROR(__xludf.DUMMYFUNCTION("IFERROR(INDEX(FILTER('Respostas LLM'!$E:$E,'Respostas LLM'!$A:$A=$A8,'Respostas LLM'!$B:$B=""Gemini""),1),"""")"),"A")</f>
        <v>A</v>
      </c>
      <c r="D8" s="21" t="str">
        <f>IFERROR(__xludf.DUMMYFUNCTION("IFERROR(INDEX(FILTER('Respostas LLM'!$E:$E,'Respostas LLM'!$A:$A=$A8,'Respostas LLM'!$B:$B=""Claude""),1),"""")"),"A")</f>
        <v>A</v>
      </c>
      <c r="E8" s="21" t="str">
        <f t="shared" si="1"/>
        <v>3/3</v>
      </c>
      <c r="F8" s="21" t="str">
        <f t="shared" si="2"/>
        <v>A</v>
      </c>
      <c r="G8" s="21" t="str">
        <f>IFERROR(__xludf.DUMMYFUNCTION("IFERROR(INDEX(FILTER(Gabarito_INEP!$B:$B,Gabarito_INEP!$A:$A=$A8),1),"""")"),"A")</f>
        <v>A</v>
      </c>
      <c r="H8" s="21" t="str">
        <f t="shared" si="3"/>
        <v>3/3</v>
      </c>
      <c r="I8" s="49">
        <f>IFERROR(__xludf.DUMMYFUNCTION("IFERROR(AVERAGE(FILTER('Respostas LLM'!$F:$F,'Respostas LLM'!$A:$A=$A8)),"""")"),95.33333333333333)</f>
        <v>95.33333333</v>
      </c>
      <c r="J8" s="49">
        <f>IFERROR(__xludf.DUMMYFUNCTION("IFERROR(AVERAGE(FILTER('Respostas LLM'!$G:$G,'Respostas LLM'!$A:$A=$A8,'Respostas LLM'!$G:$G&lt;&gt;"""")),"""")"),3.0)</f>
        <v>3</v>
      </c>
      <c r="K8" s="49">
        <f>IFERROR(__xludf.DUMMYFUNCTION("IFERROR(AVERAGE(FILTER('Respostas LLM'!$H:$H,'Respostas LLM'!$A:$A=$A8)),"""")"),0.0)</f>
        <v>0</v>
      </c>
      <c r="L8" s="49">
        <f>IFERROR(__xludf.DUMMYFUNCTION("IFERROR(MAX(FILTER('Respostas LLM'!$H:$H,'Respostas LLM'!$A:$A=$A8)),"""")"),0.0)</f>
        <v>0</v>
      </c>
      <c r="M8" s="49">
        <f>IFERROR(__xludf.DUMMYFUNCTION("IFERROR(AVERAGE(FILTER('Respostas LLM'!$I:$I,'Respostas LLM'!$A:$A=$A8)),"""")"),1.6666666666666667)</f>
        <v>1.666666667</v>
      </c>
      <c r="N8" s="21" t="str">
        <f t="shared" si="4"/>
        <v>Sim</v>
      </c>
      <c r="O8" s="55" t="str">
        <f t="shared" si="5"/>
        <v>Consenso unânime correto</v>
      </c>
      <c r="P8" s="4"/>
      <c r="Q8" s="4"/>
      <c r="R8" s="4"/>
      <c r="S8" s="4"/>
      <c r="T8" s="4"/>
      <c r="U8" s="4"/>
      <c r="V8" s="4"/>
      <c r="W8" s="4"/>
      <c r="X8" s="4"/>
      <c r="Y8" s="4"/>
      <c r="Z8" s="4"/>
    </row>
    <row r="9" ht="22.5" customHeight="1">
      <c r="A9" s="16" t="s">
        <v>162</v>
      </c>
      <c r="B9" s="57" t="str">
        <f>IFERROR(__xludf.DUMMYFUNCTION("IFERROR(INDEX(FILTER('Respostas LLM'!$E:$E,'Respostas LLM'!$A:$A=$A9,'Respostas LLM'!$B:$B=""ChatGPT""),1),"""")"),"D")</f>
        <v>D</v>
      </c>
      <c r="C9" s="57" t="str">
        <f>IFERROR(__xludf.DUMMYFUNCTION("IFERROR(INDEX(FILTER('Respostas LLM'!$E:$E,'Respostas LLM'!$A:$A=$A9,'Respostas LLM'!$B:$B=""Gemini""),1),"""")"),"D")</f>
        <v>D</v>
      </c>
      <c r="D9" s="57" t="str">
        <f>IFERROR(__xludf.DUMMYFUNCTION("IFERROR(INDEX(FILTER('Respostas LLM'!$E:$E,'Respostas LLM'!$A:$A=$A9,'Respostas LLM'!$B:$B=""Claude""),1),"""")"),"D")</f>
        <v>D</v>
      </c>
      <c r="E9" s="57" t="str">
        <f t="shared" si="1"/>
        <v>3/3</v>
      </c>
      <c r="F9" s="57" t="str">
        <f t="shared" si="2"/>
        <v>D</v>
      </c>
      <c r="G9" s="57" t="str">
        <f>IFERROR(__xludf.DUMMYFUNCTION("IFERROR(INDEX(FILTER(Gabarito_INEP!$B:$B,Gabarito_INEP!$A:$A=$A9),1),"""")"),"D")</f>
        <v>D</v>
      </c>
      <c r="H9" s="57" t="str">
        <f t="shared" si="3"/>
        <v>3/3</v>
      </c>
      <c r="I9" s="59">
        <f>IFERROR(__xludf.DUMMYFUNCTION("IFERROR(AVERAGE(FILTER('Respostas LLM'!$F:$F,'Respostas LLM'!$A:$A=$A9)),"""")"),99.66666666666667)</f>
        <v>99.66666667</v>
      </c>
      <c r="J9" s="59">
        <f>IFERROR(__xludf.DUMMYFUNCTION("IFERROR(AVERAGE(FILTER('Respostas LLM'!$G:$G,'Respostas LLM'!$A:$A=$A9,'Respostas LLM'!$G:$G&lt;&gt;"""")),"""")"),2.6666666666666665)</f>
        <v>2.666666667</v>
      </c>
      <c r="K9" s="59">
        <f>IFERROR(__xludf.DUMMYFUNCTION("IFERROR(AVERAGE(FILTER('Respostas LLM'!$H:$H,'Respostas LLM'!$A:$A=$A9)),"""")"),0.0)</f>
        <v>0</v>
      </c>
      <c r="L9" s="59">
        <f>IFERROR(__xludf.DUMMYFUNCTION("IFERROR(MAX(FILTER('Respostas LLM'!$H:$H,'Respostas LLM'!$A:$A=$A9)),"""")"),0.0)</f>
        <v>0</v>
      </c>
      <c r="M9" s="59">
        <f>IFERROR(__xludf.DUMMYFUNCTION("IFERROR(AVERAGE(FILTER('Respostas LLM'!$I:$I,'Respostas LLM'!$A:$A=$A9)),"""")"),2.0)</f>
        <v>2</v>
      </c>
      <c r="N9" s="57" t="str">
        <f t="shared" si="4"/>
        <v>Sim</v>
      </c>
      <c r="O9" s="66" t="str">
        <f t="shared" si="5"/>
        <v>Consenso unânime correto</v>
      </c>
      <c r="P9" s="4"/>
      <c r="Q9" s="4"/>
      <c r="R9" s="4"/>
      <c r="S9" s="4"/>
      <c r="T9" s="4"/>
      <c r="U9" s="4"/>
      <c r="V9" s="4"/>
      <c r="W9" s="4"/>
      <c r="X9" s="4"/>
      <c r="Y9" s="4"/>
      <c r="Z9" s="4"/>
    </row>
    <row r="10" ht="22.5" customHeight="1">
      <c r="A10" s="5" t="s">
        <v>166</v>
      </c>
      <c r="B10" s="21" t="str">
        <f>IFERROR(__xludf.DUMMYFUNCTION("IFERROR(INDEX(FILTER('Respostas LLM'!$E:$E,'Respostas LLM'!$A:$A=$A10,'Respostas LLM'!$B:$B=""ChatGPT""),1),"""")"),"E")</f>
        <v>E</v>
      </c>
      <c r="C10" s="21" t="str">
        <f>IFERROR(__xludf.DUMMYFUNCTION("IFERROR(INDEX(FILTER('Respostas LLM'!$E:$E,'Respostas LLM'!$A:$A=$A10,'Respostas LLM'!$B:$B=""Gemini""),1),"""")"),"E")</f>
        <v>E</v>
      </c>
      <c r="D10" s="21" t="str">
        <f>IFERROR(__xludf.DUMMYFUNCTION("IFERROR(INDEX(FILTER('Respostas LLM'!$E:$E,'Respostas LLM'!$A:$A=$A10,'Respostas LLM'!$B:$B=""Claude""),1),"""")"),"E")</f>
        <v>E</v>
      </c>
      <c r="E10" s="21" t="str">
        <f t="shared" si="1"/>
        <v>3/3</v>
      </c>
      <c r="F10" s="21" t="str">
        <f t="shared" si="2"/>
        <v>E</v>
      </c>
      <c r="G10" s="21" t="str">
        <f>IFERROR(__xludf.DUMMYFUNCTION("IFERROR(INDEX(FILTER(Gabarito_INEP!$B:$B,Gabarito_INEP!$A:$A=$A10),1),"""")"),"E")</f>
        <v>E</v>
      </c>
      <c r="H10" s="21" t="str">
        <f t="shared" si="3"/>
        <v>3/3</v>
      </c>
      <c r="I10" s="49">
        <f>IFERROR(__xludf.DUMMYFUNCTION("IFERROR(AVERAGE(FILTER('Respostas LLM'!$F:$F,'Respostas LLM'!$A:$A=$A10)),"""")"),95.66666666666667)</f>
        <v>95.66666667</v>
      </c>
      <c r="J10" s="49">
        <f>IFERROR(__xludf.DUMMYFUNCTION("IFERROR(AVERAGE(FILTER('Respostas LLM'!$G:$G,'Respostas LLM'!$A:$A=$A10,'Respostas LLM'!$G:$G&lt;&gt;"""")),"""")"),2.6666666666666665)</f>
        <v>2.666666667</v>
      </c>
      <c r="K10" s="49">
        <f>IFERROR(__xludf.DUMMYFUNCTION("IFERROR(AVERAGE(FILTER('Respostas LLM'!$H:$H,'Respostas LLM'!$A:$A=$A10)),"""")"),0.0)</f>
        <v>0</v>
      </c>
      <c r="L10" s="49">
        <f>IFERROR(__xludf.DUMMYFUNCTION("IFERROR(MAX(FILTER('Respostas LLM'!$H:$H,'Respostas LLM'!$A:$A=$A10)),"""")"),0.0)</f>
        <v>0</v>
      </c>
      <c r="M10" s="49">
        <f>IFERROR(__xludf.DUMMYFUNCTION("IFERROR(AVERAGE(FILTER('Respostas LLM'!$I:$I,'Respostas LLM'!$A:$A=$A10)),"""")"),1.0)</f>
        <v>1</v>
      </c>
      <c r="N10" s="21" t="str">
        <f t="shared" si="4"/>
        <v>Sim</v>
      </c>
      <c r="O10" s="55" t="str">
        <f t="shared" si="5"/>
        <v>Consenso unânime correto</v>
      </c>
      <c r="P10" s="4"/>
      <c r="Q10" s="4"/>
      <c r="R10" s="4"/>
      <c r="S10" s="4"/>
      <c r="T10" s="4"/>
      <c r="U10" s="4"/>
      <c r="V10" s="4"/>
      <c r="W10" s="4"/>
      <c r="X10" s="4"/>
      <c r="Y10" s="4"/>
      <c r="Z10" s="4"/>
    </row>
    <row r="11" ht="22.5" customHeight="1">
      <c r="A11" s="16" t="s">
        <v>167</v>
      </c>
      <c r="B11" s="57" t="str">
        <f>IFERROR(__xludf.DUMMYFUNCTION("IFERROR(INDEX(FILTER('Respostas LLM'!$E:$E,'Respostas LLM'!$A:$A=$A11,'Respostas LLM'!$B:$B=""ChatGPT""),1),"""")"),"A")</f>
        <v>A</v>
      </c>
      <c r="C11" s="57" t="str">
        <f>IFERROR(__xludf.DUMMYFUNCTION("IFERROR(INDEX(FILTER('Respostas LLM'!$E:$E,'Respostas LLM'!$A:$A=$A11,'Respostas LLM'!$B:$B=""Gemini""),1),"""")"),"A")</f>
        <v>A</v>
      </c>
      <c r="D11" s="57" t="str">
        <f>IFERROR(__xludf.DUMMYFUNCTION("IFERROR(INDEX(FILTER('Respostas LLM'!$E:$E,'Respostas LLM'!$A:$A=$A11,'Respostas LLM'!$B:$B=""Claude""),1),"""")"),"A")</f>
        <v>A</v>
      </c>
      <c r="E11" s="57" t="str">
        <f t="shared" si="1"/>
        <v>3/3</v>
      </c>
      <c r="F11" s="57" t="str">
        <f t="shared" si="2"/>
        <v>A</v>
      </c>
      <c r="G11" s="57" t="str">
        <f>IFERROR(__xludf.DUMMYFUNCTION("IFERROR(INDEX(FILTER(Gabarito_INEP!$B:$B,Gabarito_INEP!$A:$A=$A11),1),"""")"),"A")</f>
        <v>A</v>
      </c>
      <c r="H11" s="57" t="str">
        <f t="shared" si="3"/>
        <v>3/3</v>
      </c>
      <c r="I11" s="59">
        <f>IFERROR(__xludf.DUMMYFUNCTION("IFERROR(AVERAGE(FILTER('Respostas LLM'!$F:$F,'Respostas LLM'!$A:$A=$A11)),"""")"),83.33333333333333)</f>
        <v>83.33333333</v>
      </c>
      <c r="J11" s="59">
        <f>IFERROR(__xludf.DUMMYFUNCTION("IFERROR(AVERAGE(FILTER('Respostas LLM'!$G:$G,'Respostas LLM'!$A:$A=$A11,'Respostas LLM'!$G:$G&lt;&gt;"""")),"""")"),3.0)</f>
        <v>3</v>
      </c>
      <c r="K11" s="59">
        <f>IFERROR(__xludf.DUMMYFUNCTION("IFERROR(AVERAGE(FILTER('Respostas LLM'!$H:$H,'Respostas LLM'!$A:$A=$A11)),"""")"),1.3333333333333333)</f>
        <v>1.333333333</v>
      </c>
      <c r="L11" s="59">
        <f>IFERROR(__xludf.DUMMYFUNCTION("IFERROR(MAX(FILTER('Respostas LLM'!$H:$H,'Respostas LLM'!$A:$A=$A11)),"""")"),2.0)</f>
        <v>2</v>
      </c>
      <c r="M11" s="59">
        <f>IFERROR(__xludf.DUMMYFUNCTION("IFERROR(AVERAGE(FILTER('Respostas LLM'!$I:$I,'Respostas LLM'!$A:$A=$A11)),"""")"),1.6666666666666667)</f>
        <v>1.666666667</v>
      </c>
      <c r="N11" s="57" t="str">
        <f t="shared" si="4"/>
        <v>Sim</v>
      </c>
      <c r="O11" s="66" t="str">
        <f t="shared" si="5"/>
        <v>Consenso unânime correto</v>
      </c>
      <c r="P11" s="4"/>
      <c r="Q11" s="4"/>
      <c r="R11" s="4"/>
      <c r="S11" s="4"/>
      <c r="T11" s="4"/>
      <c r="U11" s="4"/>
      <c r="V11" s="4"/>
      <c r="W11" s="4"/>
      <c r="X11" s="4"/>
      <c r="Y11" s="4"/>
      <c r="Z11" s="4"/>
    </row>
    <row r="12" ht="22.5" customHeight="1">
      <c r="A12" s="5" t="s">
        <v>168</v>
      </c>
      <c r="B12" s="21" t="str">
        <f>IFERROR(__xludf.DUMMYFUNCTION("IFERROR(INDEX(FILTER('Respostas LLM'!$E:$E,'Respostas LLM'!$A:$A=$A12,'Respostas LLM'!$B:$B=""ChatGPT""),1),"""")"),"D")</f>
        <v>D</v>
      </c>
      <c r="C12" s="21" t="str">
        <f>IFERROR(__xludf.DUMMYFUNCTION("IFERROR(INDEX(FILTER('Respostas LLM'!$E:$E,'Respostas LLM'!$A:$A=$A12,'Respostas LLM'!$B:$B=""Gemini""),1),"""")"),"D")</f>
        <v>D</v>
      </c>
      <c r="D12" s="21" t="str">
        <f>IFERROR(__xludf.DUMMYFUNCTION("IFERROR(INDEX(FILTER('Respostas LLM'!$E:$E,'Respostas LLM'!$A:$A=$A12,'Respostas LLM'!$B:$B=""Claude""),1),"""")"),"D")</f>
        <v>D</v>
      </c>
      <c r="E12" s="21" t="str">
        <f t="shared" si="1"/>
        <v>3/3</v>
      </c>
      <c r="F12" s="21" t="str">
        <f t="shared" si="2"/>
        <v>D</v>
      </c>
      <c r="G12" s="21" t="str">
        <f>IFERROR(__xludf.DUMMYFUNCTION("IFERROR(INDEX(FILTER(Gabarito_INEP!$B:$B,Gabarito_INEP!$A:$A=$A12),1),"""")"),"D")</f>
        <v>D</v>
      </c>
      <c r="H12" s="21" t="str">
        <f t="shared" si="3"/>
        <v>3/3</v>
      </c>
      <c r="I12" s="49">
        <f>IFERROR(__xludf.DUMMYFUNCTION("IFERROR(AVERAGE(FILTER('Respostas LLM'!$F:$F,'Respostas LLM'!$A:$A=$A12)),"""")"),88.33333333333333)</f>
        <v>88.33333333</v>
      </c>
      <c r="J12" s="49">
        <f>IFERROR(__xludf.DUMMYFUNCTION("IFERROR(AVERAGE(FILTER('Respostas LLM'!$G:$G,'Respostas LLM'!$A:$A=$A12,'Respostas LLM'!$G:$G&lt;&gt;"""")),"""")"),4.333333333333333)</f>
        <v>4.333333333</v>
      </c>
      <c r="K12" s="49">
        <f>IFERROR(__xludf.DUMMYFUNCTION("IFERROR(AVERAGE(FILTER('Respostas LLM'!$H:$H,'Respostas LLM'!$A:$A=$A12)),"""")"),0.3333333333333333)</f>
        <v>0.3333333333</v>
      </c>
      <c r="L12" s="49">
        <f>IFERROR(__xludf.DUMMYFUNCTION("IFERROR(MAX(FILTER('Respostas LLM'!$H:$H,'Respostas LLM'!$A:$A=$A12)),"""")"),1.0)</f>
        <v>1</v>
      </c>
      <c r="M12" s="49">
        <f>IFERROR(__xludf.DUMMYFUNCTION("IFERROR(AVERAGE(FILTER('Respostas LLM'!$I:$I,'Respostas LLM'!$A:$A=$A12)),"""")"),1.6666666666666667)</f>
        <v>1.666666667</v>
      </c>
      <c r="N12" s="21" t="str">
        <f t="shared" si="4"/>
        <v>Sim</v>
      </c>
      <c r="O12" s="55" t="str">
        <f t="shared" si="5"/>
        <v>Consenso unânime correto</v>
      </c>
      <c r="P12" s="4"/>
      <c r="Q12" s="4"/>
      <c r="R12" s="4"/>
      <c r="S12" s="4"/>
      <c r="T12" s="4"/>
      <c r="U12" s="4"/>
      <c r="V12" s="4"/>
      <c r="W12" s="4"/>
      <c r="X12" s="4"/>
      <c r="Y12" s="4"/>
      <c r="Z12" s="4"/>
    </row>
    <row r="13" ht="22.5" customHeight="1">
      <c r="A13" s="16" t="s">
        <v>169</v>
      </c>
      <c r="B13" s="57" t="str">
        <f>IFERROR(__xludf.DUMMYFUNCTION("IFERROR(INDEX(FILTER('Respostas LLM'!$E:$E,'Respostas LLM'!$A:$A=$A13,'Respostas LLM'!$B:$B=""ChatGPT""),1),"""")"),"D")</f>
        <v>D</v>
      </c>
      <c r="C13" s="57" t="str">
        <f>IFERROR(__xludf.DUMMYFUNCTION("IFERROR(INDEX(FILTER('Respostas LLM'!$E:$E,'Respostas LLM'!$A:$A=$A13,'Respostas LLM'!$B:$B=""Gemini""),1),"""")"),"D")</f>
        <v>D</v>
      </c>
      <c r="D13" s="57" t="str">
        <f>IFERROR(__xludf.DUMMYFUNCTION("IFERROR(INDEX(FILTER('Respostas LLM'!$E:$E,'Respostas LLM'!$A:$A=$A13,'Respostas LLM'!$B:$B=""Claude""),1),"""")"),"D")</f>
        <v>D</v>
      </c>
      <c r="E13" s="57" t="str">
        <f t="shared" si="1"/>
        <v>3/3</v>
      </c>
      <c r="F13" s="57" t="str">
        <f t="shared" si="2"/>
        <v>D</v>
      </c>
      <c r="G13" s="57" t="str">
        <f>IFERROR(__xludf.DUMMYFUNCTION("IFERROR(INDEX(FILTER(Gabarito_INEP!$B:$B,Gabarito_INEP!$A:$A=$A13),1),"""")"),"D")</f>
        <v>D</v>
      </c>
      <c r="H13" s="57" t="str">
        <f t="shared" si="3"/>
        <v>3/3</v>
      </c>
      <c r="I13" s="59">
        <f>IFERROR(__xludf.DUMMYFUNCTION("IFERROR(AVERAGE(FILTER('Respostas LLM'!$F:$F,'Respostas LLM'!$A:$A=$A13)),"""")"),90.0)</f>
        <v>90</v>
      </c>
      <c r="J13" s="59">
        <f>IFERROR(__xludf.DUMMYFUNCTION("IFERROR(AVERAGE(FILTER('Respostas LLM'!$G:$G,'Respostas LLM'!$A:$A=$A13,'Respostas LLM'!$G:$G&lt;&gt;"""")),"""")"),3.3333333333333335)</f>
        <v>3.333333333</v>
      </c>
      <c r="K13" s="59">
        <f>IFERROR(__xludf.DUMMYFUNCTION("IFERROR(AVERAGE(FILTER('Respostas LLM'!$H:$H,'Respostas LLM'!$A:$A=$A13)),"""")"),0.3333333333333333)</f>
        <v>0.3333333333</v>
      </c>
      <c r="L13" s="59">
        <f>IFERROR(__xludf.DUMMYFUNCTION("IFERROR(MAX(FILTER('Respostas LLM'!$H:$H,'Respostas LLM'!$A:$A=$A13)),"""")"),1.0)</f>
        <v>1</v>
      </c>
      <c r="M13" s="59">
        <f>IFERROR(__xludf.DUMMYFUNCTION("IFERROR(AVERAGE(FILTER('Respostas LLM'!$I:$I,'Respostas LLM'!$A:$A=$A13)),"""")"),2.0)</f>
        <v>2</v>
      </c>
      <c r="N13" s="57" t="str">
        <f t="shared" si="4"/>
        <v>Sim</v>
      </c>
      <c r="O13" s="66" t="str">
        <f t="shared" si="5"/>
        <v>Consenso unânime correto</v>
      </c>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P997" s="4"/>
      <c r="Q997" s="4"/>
      <c r="R997" s="4"/>
      <c r="S997" s="4"/>
      <c r="T997" s="4"/>
      <c r="U997" s="4"/>
      <c r="V997" s="4"/>
      <c r="W997" s="4"/>
      <c r="X997" s="4"/>
      <c r="Y997" s="4"/>
      <c r="Z997" s="4"/>
    </row>
  </sheetData>
  <dataValidations>
    <dataValidation allowBlank="1" showDropDown="1" sqref="A2:A13"/>
    <dataValidation type="custom" allowBlank="1" showDropDown="1" sqref="I2:I13 K2:K13">
      <formula1>AND(ISNUMBER(I2),(NOT(OR(NOT(ISERROR(DATEVALUE(I2))), AND(ISNUMBER(I2), LEFT(CELL("format", I2))="D")))))</formula1>
    </dataValidation>
    <dataValidation allowBlank="1" showDropDown="1" sqref="B2:F13 N2:N13"/>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3" max="3" width="13.5"/>
    <col customWidth="1" min="5" max="5" width="15.13"/>
    <col customWidth="1" min="7" max="7" width="25.63"/>
  </cols>
  <sheetData>
    <row r="1" ht="22.5" customHeight="1">
      <c r="A1" s="1" t="s">
        <v>2</v>
      </c>
      <c r="B1" s="1" t="s">
        <v>4</v>
      </c>
      <c r="C1" s="1" t="s">
        <v>7</v>
      </c>
      <c r="D1" s="1" t="s">
        <v>8</v>
      </c>
      <c r="E1" s="3" t="s">
        <v>9</v>
      </c>
      <c r="F1" s="3" t="s">
        <v>12</v>
      </c>
      <c r="G1" s="3" t="s">
        <v>13</v>
      </c>
      <c r="H1" s="4"/>
      <c r="I1" s="4"/>
      <c r="J1" s="4"/>
      <c r="K1" s="4"/>
      <c r="L1" s="4"/>
      <c r="M1" s="4"/>
      <c r="N1" s="4"/>
      <c r="O1" s="4"/>
      <c r="P1" s="4"/>
      <c r="Q1" s="4"/>
      <c r="R1" s="4"/>
      <c r="S1" s="4"/>
      <c r="T1" s="4"/>
      <c r="U1" s="4"/>
      <c r="V1" s="4"/>
      <c r="W1" s="4"/>
      <c r="X1" s="4"/>
      <c r="Y1" s="4"/>
      <c r="Z1" s="4"/>
    </row>
    <row r="2" ht="26.25" customHeight="1">
      <c r="A2" s="7" t="s">
        <v>24</v>
      </c>
      <c r="B2" s="9" t="s">
        <v>32</v>
      </c>
      <c r="C2" s="11" t="s">
        <v>38</v>
      </c>
      <c r="D2" s="9" t="s">
        <v>43</v>
      </c>
      <c r="E2" s="12">
        <v>46264.0</v>
      </c>
      <c r="F2" s="13" t="s">
        <v>51</v>
      </c>
      <c r="G2" s="15" t="s">
        <v>52</v>
      </c>
      <c r="H2" s="4"/>
      <c r="I2" s="4"/>
      <c r="J2" s="4"/>
      <c r="K2" s="4"/>
      <c r="L2" s="4"/>
      <c r="M2" s="4"/>
      <c r="N2" s="4"/>
      <c r="O2" s="4"/>
      <c r="P2" s="4"/>
      <c r="Q2" s="4"/>
      <c r="R2" s="4"/>
      <c r="S2" s="4"/>
      <c r="T2" s="4"/>
      <c r="U2" s="4"/>
      <c r="V2" s="4"/>
      <c r="W2" s="4"/>
      <c r="X2" s="4"/>
      <c r="Y2" s="4"/>
      <c r="Z2" s="4"/>
    </row>
    <row r="3" ht="26.25" customHeight="1">
      <c r="A3" s="22" t="s">
        <v>56</v>
      </c>
      <c r="B3" s="24" t="s">
        <v>58</v>
      </c>
      <c r="C3" s="27" t="s">
        <v>59</v>
      </c>
      <c r="D3" s="24" t="s">
        <v>60</v>
      </c>
      <c r="E3" s="31">
        <v>46264.0</v>
      </c>
      <c r="F3" s="33" t="s">
        <v>51</v>
      </c>
      <c r="G3" s="34" t="s">
        <v>69</v>
      </c>
      <c r="H3" s="4"/>
      <c r="I3" s="4"/>
      <c r="J3" s="4"/>
      <c r="K3" s="4"/>
      <c r="L3" s="4"/>
      <c r="M3" s="4"/>
      <c r="N3" s="4"/>
      <c r="O3" s="4"/>
      <c r="P3" s="4"/>
      <c r="Q3" s="4"/>
      <c r="R3" s="4"/>
      <c r="S3" s="4"/>
      <c r="T3" s="4"/>
      <c r="U3" s="4"/>
      <c r="V3" s="4"/>
      <c r="W3" s="4"/>
      <c r="X3" s="4"/>
      <c r="Y3" s="4"/>
      <c r="Z3" s="4"/>
    </row>
    <row r="4" ht="26.25" customHeight="1">
      <c r="A4" s="36" t="s">
        <v>56</v>
      </c>
      <c r="B4" s="38"/>
      <c r="C4" s="40" t="s">
        <v>75</v>
      </c>
      <c r="D4" s="42" t="s">
        <v>60</v>
      </c>
      <c r="E4" s="44">
        <v>46268.0</v>
      </c>
      <c r="F4" s="46" t="s">
        <v>51</v>
      </c>
      <c r="G4" s="51" t="s">
        <v>87</v>
      </c>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custom" allowBlank="1" showDropDown="1" sqref="E2:E4">
      <formula1>OR(NOT(ISERROR(DATEVALUE(E2))), AND(ISNUMBER(E2), LEFT(CELL("format", E2))="D"))</formula1>
    </dataValidation>
    <dataValidation allowBlank="1" showDropDown="1" sqref="A2:A4"/>
    <dataValidation allowBlank="1" showDropDown="1" sqref="B2:B4 D2:D4"/>
    <dataValidation type="list" allowBlank="1" sqref="F2:F4">
      <formula1>"Ativo,Encerrado,Piloto"</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31</v>
      </c>
      <c r="C1" s="4"/>
      <c r="D1" s="4"/>
      <c r="E1" s="4"/>
      <c r="F1" s="4"/>
      <c r="G1" s="4"/>
      <c r="H1" s="4"/>
      <c r="I1" s="4"/>
      <c r="J1" s="4"/>
      <c r="K1" s="4"/>
      <c r="L1" s="4"/>
      <c r="M1" s="4"/>
      <c r="N1" s="4"/>
      <c r="O1" s="4"/>
      <c r="P1" s="4"/>
      <c r="Q1" s="4"/>
      <c r="R1" s="4"/>
      <c r="S1" s="4"/>
      <c r="T1" s="4"/>
      <c r="U1" s="4"/>
      <c r="V1" s="4"/>
      <c r="W1" s="4"/>
      <c r="X1" s="4"/>
      <c r="Y1" s="4"/>
      <c r="Z1" s="4"/>
    </row>
    <row r="2" ht="22.5" customHeight="1">
      <c r="A2" s="5" t="s">
        <v>47</v>
      </c>
      <c r="B2" s="79" t="s">
        <v>57</v>
      </c>
      <c r="C2" s="4"/>
      <c r="D2" s="4"/>
      <c r="E2" s="4"/>
      <c r="F2" s="4"/>
      <c r="G2" s="4"/>
      <c r="H2" s="4"/>
      <c r="I2" s="4"/>
      <c r="J2" s="4"/>
      <c r="K2" s="4"/>
      <c r="L2" s="4"/>
      <c r="M2" s="4"/>
      <c r="N2" s="4"/>
      <c r="O2" s="4"/>
      <c r="P2" s="4"/>
      <c r="Q2" s="4"/>
      <c r="R2" s="4"/>
      <c r="S2" s="4"/>
      <c r="T2" s="4"/>
      <c r="U2" s="4"/>
      <c r="V2" s="4"/>
      <c r="W2" s="4"/>
      <c r="X2" s="4"/>
      <c r="Y2" s="4"/>
      <c r="Z2" s="4"/>
    </row>
    <row r="3" ht="22.5" customHeight="1">
      <c r="A3" s="16" t="s">
        <v>100</v>
      </c>
      <c r="B3" s="82" t="s">
        <v>77</v>
      </c>
      <c r="C3" s="4"/>
      <c r="D3" s="4"/>
      <c r="E3" s="4"/>
      <c r="F3" s="4"/>
      <c r="G3" s="4"/>
      <c r="H3" s="4"/>
      <c r="I3" s="4"/>
      <c r="J3" s="4"/>
      <c r="K3" s="4"/>
      <c r="L3" s="4"/>
      <c r="M3" s="4"/>
      <c r="N3" s="4"/>
      <c r="O3" s="4"/>
      <c r="P3" s="4"/>
      <c r="Q3" s="4"/>
      <c r="R3" s="4"/>
      <c r="S3" s="4"/>
      <c r="T3" s="4"/>
      <c r="U3" s="4"/>
      <c r="V3" s="4"/>
      <c r="W3" s="4"/>
      <c r="X3" s="4"/>
      <c r="Y3" s="4"/>
      <c r="Z3" s="4"/>
    </row>
    <row r="4" ht="22.5" customHeight="1">
      <c r="A4" s="5" t="s">
        <v>128</v>
      </c>
      <c r="B4" s="79" t="s">
        <v>152</v>
      </c>
      <c r="C4" s="4"/>
      <c r="D4" s="4"/>
      <c r="E4" s="4"/>
      <c r="F4" s="4"/>
      <c r="G4" s="4"/>
      <c r="H4" s="4"/>
      <c r="I4" s="4"/>
      <c r="J4" s="4"/>
      <c r="K4" s="4"/>
      <c r="L4" s="4"/>
      <c r="M4" s="4"/>
      <c r="N4" s="4"/>
      <c r="O4" s="4"/>
      <c r="P4" s="4"/>
      <c r="Q4" s="4"/>
      <c r="R4" s="4"/>
      <c r="S4" s="4"/>
      <c r="T4" s="4"/>
      <c r="U4" s="4"/>
      <c r="V4" s="4"/>
      <c r="W4" s="4"/>
      <c r="X4" s="4"/>
      <c r="Y4" s="4"/>
      <c r="Z4" s="4"/>
    </row>
    <row r="5" ht="22.5" customHeight="1">
      <c r="A5" s="16" t="s">
        <v>141</v>
      </c>
      <c r="B5" s="82" t="s">
        <v>148</v>
      </c>
      <c r="C5" s="4"/>
      <c r="D5" s="4"/>
      <c r="E5" s="4"/>
      <c r="F5" s="4"/>
      <c r="G5" s="4"/>
      <c r="H5" s="4"/>
      <c r="I5" s="4"/>
      <c r="J5" s="4"/>
      <c r="K5" s="4"/>
      <c r="L5" s="4"/>
      <c r="M5" s="4"/>
      <c r="N5" s="4"/>
      <c r="O5" s="4"/>
      <c r="P5" s="4"/>
      <c r="Q5" s="4"/>
      <c r="R5" s="4"/>
      <c r="S5" s="4"/>
      <c r="T5" s="4"/>
      <c r="U5" s="4"/>
      <c r="V5" s="4"/>
      <c r="W5" s="4"/>
      <c r="X5" s="4"/>
      <c r="Y5" s="4"/>
      <c r="Z5" s="4"/>
    </row>
    <row r="6" ht="22.5" customHeight="1">
      <c r="A6" s="5" t="s">
        <v>156</v>
      </c>
      <c r="B6" s="79" t="s">
        <v>91</v>
      </c>
      <c r="C6" s="4"/>
      <c r="D6" s="4"/>
      <c r="E6" s="4"/>
      <c r="F6" s="4"/>
      <c r="G6" s="4"/>
      <c r="H6" s="4"/>
      <c r="I6" s="4"/>
      <c r="J6" s="4"/>
      <c r="K6" s="4"/>
      <c r="L6" s="4"/>
      <c r="M6" s="4"/>
      <c r="N6" s="4"/>
      <c r="O6" s="4"/>
      <c r="P6" s="4"/>
      <c r="Q6" s="4"/>
      <c r="R6" s="4"/>
      <c r="S6" s="4"/>
      <c r="T6" s="4"/>
      <c r="U6" s="4"/>
      <c r="V6" s="4"/>
      <c r="W6" s="4"/>
      <c r="X6" s="4"/>
      <c r="Y6" s="4"/>
      <c r="Z6" s="4"/>
    </row>
    <row r="7" ht="22.5" customHeight="1">
      <c r="A7" s="16" t="s">
        <v>157</v>
      </c>
      <c r="B7" s="82" t="s">
        <v>148</v>
      </c>
      <c r="C7" s="4"/>
      <c r="D7" s="4"/>
      <c r="E7" s="4"/>
      <c r="F7" s="4"/>
      <c r="G7" s="4"/>
      <c r="H7" s="4"/>
      <c r="I7" s="4"/>
      <c r="J7" s="4"/>
      <c r="K7" s="4"/>
      <c r="L7" s="4"/>
      <c r="M7" s="4"/>
      <c r="N7" s="4"/>
      <c r="O7" s="4"/>
      <c r="P7" s="4"/>
      <c r="Q7" s="4"/>
      <c r="R7" s="4"/>
      <c r="S7" s="4"/>
      <c r="T7" s="4"/>
      <c r="U7" s="4"/>
      <c r="V7" s="4"/>
      <c r="W7" s="4"/>
      <c r="X7" s="4"/>
      <c r="Y7" s="4"/>
      <c r="Z7" s="4"/>
    </row>
    <row r="8" ht="22.5" customHeight="1">
      <c r="A8" s="5" t="s">
        <v>158</v>
      </c>
      <c r="B8" s="79" t="s">
        <v>57</v>
      </c>
      <c r="C8" s="4"/>
      <c r="D8" s="4"/>
      <c r="E8" s="4"/>
      <c r="F8" s="4"/>
      <c r="G8" s="4"/>
      <c r="H8" s="4"/>
      <c r="I8" s="4"/>
      <c r="J8" s="4"/>
      <c r="K8" s="4"/>
      <c r="L8" s="4"/>
      <c r="M8" s="4"/>
      <c r="N8" s="4"/>
      <c r="O8" s="4"/>
      <c r="P8" s="4"/>
      <c r="Q8" s="4"/>
      <c r="R8" s="4"/>
      <c r="S8" s="4"/>
      <c r="T8" s="4"/>
      <c r="U8" s="4"/>
      <c r="V8" s="4"/>
      <c r="W8" s="4"/>
      <c r="X8" s="4"/>
      <c r="Y8" s="4"/>
      <c r="Z8" s="4"/>
    </row>
    <row r="9" ht="22.5" customHeight="1">
      <c r="A9" s="16" t="s">
        <v>162</v>
      </c>
      <c r="B9" s="82" t="s">
        <v>148</v>
      </c>
      <c r="C9" s="4"/>
      <c r="D9" s="4"/>
      <c r="E9" s="4"/>
      <c r="F9" s="4"/>
      <c r="G9" s="4"/>
      <c r="H9" s="4"/>
      <c r="I9" s="4"/>
      <c r="J9" s="4"/>
      <c r="K9" s="4"/>
      <c r="L9" s="4"/>
      <c r="M9" s="4"/>
      <c r="N9" s="4"/>
      <c r="O9" s="4"/>
      <c r="P9" s="4"/>
      <c r="Q9" s="4"/>
      <c r="R9" s="4"/>
      <c r="S9" s="4"/>
      <c r="T9" s="4"/>
      <c r="U9" s="4"/>
      <c r="V9" s="4"/>
      <c r="W9" s="4"/>
      <c r="X9" s="4"/>
      <c r="Y9" s="4"/>
      <c r="Z9" s="4"/>
    </row>
    <row r="10" ht="22.5" customHeight="1">
      <c r="A10" s="5" t="s">
        <v>166</v>
      </c>
      <c r="B10" s="79" t="s">
        <v>152</v>
      </c>
      <c r="C10" s="4"/>
      <c r="D10" s="4"/>
      <c r="E10" s="4"/>
      <c r="F10" s="4"/>
      <c r="G10" s="4"/>
      <c r="H10" s="4"/>
      <c r="I10" s="4"/>
      <c r="J10" s="4"/>
      <c r="K10" s="4"/>
      <c r="L10" s="4"/>
      <c r="M10" s="4"/>
      <c r="N10" s="4"/>
      <c r="O10" s="4"/>
      <c r="P10" s="4"/>
      <c r="Q10" s="4"/>
      <c r="R10" s="4"/>
      <c r="S10" s="4"/>
      <c r="T10" s="4"/>
      <c r="U10" s="4"/>
      <c r="V10" s="4"/>
      <c r="W10" s="4"/>
      <c r="X10" s="4"/>
      <c r="Y10" s="4"/>
      <c r="Z10" s="4"/>
    </row>
    <row r="11" ht="22.5" customHeight="1">
      <c r="A11" s="16" t="s">
        <v>167</v>
      </c>
      <c r="B11" s="82" t="s">
        <v>57</v>
      </c>
      <c r="C11" s="4"/>
      <c r="D11" s="4"/>
      <c r="E11" s="4"/>
      <c r="F11" s="4"/>
      <c r="G11" s="4"/>
      <c r="H11" s="4"/>
      <c r="I11" s="4"/>
      <c r="J11" s="4"/>
      <c r="K11" s="4"/>
      <c r="L11" s="4"/>
      <c r="M11" s="4"/>
      <c r="N11" s="4"/>
      <c r="O11" s="4"/>
      <c r="P11" s="4"/>
      <c r="Q11" s="4"/>
      <c r="R11" s="4"/>
      <c r="S11" s="4"/>
      <c r="T11" s="4"/>
      <c r="U11" s="4"/>
      <c r="V11" s="4"/>
      <c r="W11" s="4"/>
      <c r="X11" s="4"/>
      <c r="Y11" s="4"/>
      <c r="Z11" s="4"/>
    </row>
    <row r="12" ht="22.5" customHeight="1">
      <c r="A12" s="5" t="s">
        <v>168</v>
      </c>
      <c r="B12" s="79" t="s">
        <v>148</v>
      </c>
      <c r="C12" s="4"/>
      <c r="D12" s="4"/>
      <c r="E12" s="4"/>
      <c r="F12" s="4"/>
      <c r="G12" s="4"/>
      <c r="H12" s="4"/>
      <c r="I12" s="4"/>
      <c r="J12" s="4"/>
      <c r="K12" s="4"/>
      <c r="L12" s="4"/>
      <c r="M12" s="4"/>
      <c r="N12" s="4"/>
      <c r="O12" s="4"/>
      <c r="P12" s="4"/>
      <c r="Q12" s="4"/>
      <c r="R12" s="4"/>
      <c r="S12" s="4"/>
      <c r="T12" s="4"/>
      <c r="U12" s="4"/>
      <c r="V12" s="4"/>
      <c r="W12" s="4"/>
      <c r="X12" s="4"/>
      <c r="Y12" s="4"/>
      <c r="Z12" s="4"/>
    </row>
    <row r="13" ht="22.5" customHeight="1">
      <c r="A13" s="16" t="s">
        <v>169</v>
      </c>
      <c r="B13" s="82" t="s">
        <v>148</v>
      </c>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C997" s="4"/>
      <c r="D997" s="4"/>
      <c r="E997" s="4"/>
      <c r="F997" s="4"/>
      <c r="G997" s="4"/>
      <c r="H997" s="4"/>
      <c r="I997" s="4"/>
      <c r="J997" s="4"/>
      <c r="K997" s="4"/>
      <c r="L997" s="4"/>
      <c r="M997" s="4"/>
      <c r="N997" s="4"/>
      <c r="O997" s="4"/>
      <c r="P997" s="4"/>
      <c r="Q997" s="4"/>
      <c r="R997" s="4"/>
      <c r="S997" s="4"/>
      <c r="T997" s="4"/>
      <c r="U997" s="4"/>
      <c r="V997" s="4"/>
      <c r="W997" s="4"/>
      <c r="X997" s="4"/>
      <c r="Y997" s="4"/>
      <c r="Z997" s="4"/>
    </row>
  </sheetData>
  <dataValidations>
    <dataValidation type="list" allowBlank="1" sqref="B2:B13">
      <formula1>"A,B,C,D,E"</formula1>
    </dataValidation>
    <dataValidation allowBlank="1" showDropDown="1" sqref="A2:A13"/>
  </dataValidations>
  <drawing r:id="rId1"/>
  <tableParts count="1">
    <tablePart r:id="rId3"/>
  </tableParts>
</worksheet>
</file>