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ões" sheetId="1" r:id="rId5"/>
    <sheet state="visible" name="Respostas LLM" sheetId="2" r:id="rId6"/>
    <sheet state="visible" name="Consenso" sheetId="3" r:id="rId7"/>
    <sheet state="visible" name="Prompts" sheetId="4" r:id="rId8"/>
    <sheet state="visible" name="Gabarito_INEP" sheetId="5" r:id="rId9"/>
  </sheets>
  <definedNames/>
  <calcPr/>
</workbook>
</file>

<file path=xl/sharedStrings.xml><?xml version="1.0" encoding="utf-8"?>
<sst xmlns="http://schemas.openxmlformats.org/spreadsheetml/2006/main" count="365" uniqueCount="230">
  <si>
    <t>Questão</t>
  </si>
  <si>
    <t xml:space="preserve">Questão </t>
  </si>
  <si>
    <t>ChatGPT</t>
  </si>
  <si>
    <t>Tipo</t>
  </si>
  <si>
    <t>LLM</t>
  </si>
  <si>
    <t>Gemini</t>
  </si>
  <si>
    <t>Enunciado</t>
  </si>
  <si>
    <t>Claude</t>
  </si>
  <si>
    <t>Possui figura?</t>
  </si>
  <si>
    <t>Consenso</t>
  </si>
  <si>
    <t>Situação</t>
  </si>
  <si>
    <t>Resposta Majoritária</t>
  </si>
  <si>
    <t>Gabarito INEP</t>
  </si>
  <si>
    <t>Nome do prompt</t>
  </si>
  <si>
    <t>Questão 12</t>
  </si>
  <si>
    <t>Acertos</t>
  </si>
  <si>
    <t>Modelo</t>
  </si>
  <si>
    <t>Confiança média</t>
  </si>
  <si>
    <t>Data</t>
  </si>
  <si>
    <t>Alternativa</t>
  </si>
  <si>
    <t>Dificuldade média</t>
  </si>
  <si>
    <t>Confiança</t>
  </si>
  <si>
    <t>Componente Específico Comum</t>
  </si>
  <si>
    <t>Ambiguidade média</t>
  </si>
  <si>
    <t>Dificuldade</t>
  </si>
  <si>
    <t>Ambiguidade máxima</t>
  </si>
  <si>
    <t>Ambiguidade</t>
  </si>
  <si>
    <t>Força dos distratores média</t>
  </si>
  <si>
    <t>Versão</t>
  </si>
  <si>
    <t>Concorda com INEP?</t>
  </si>
  <si>
    <t>QUESTÃO 12
Ao longo de todo o desenvolvimento do software, devem ser aplicadas atividades de garantia de qualidade de software (GQS), entre as quais se encontra a atividade de teste. Um dos critérios de teste utilizados para gerar casos de teste é o denominado critério dos caminhos básicos, cujo número de caminhos pode ser determinado com base na complexidade ciclomática.
Considerando-se o grafo de fluxo de controle apresentado na figura ao lado, no qual os nós representam os blocos de comandos e as arestas representam a transferência de controle, qual a quantidade de caminhos básicos que devem ser testados no programa associado a esse grafo de fluxo de controle, sabendo-se que essa quantidade é igual à complexidade ciclomática mais um?
A) 1.
B) 3.
C) 4.
D) 7.
E) 8.</t>
  </si>
  <si>
    <t>Finalidade</t>
  </si>
  <si>
    <t>Modelos utilizados</t>
  </si>
  <si>
    <t>Classificação do resultado</t>
  </si>
  <si>
    <t>Data de início</t>
  </si>
  <si>
    <t>12</t>
  </si>
  <si>
    <t>Sim</t>
  </si>
  <si>
    <t>Status</t>
  </si>
  <si>
    <t>Texto completo do prompt</t>
  </si>
  <si>
    <t>Em resolução pelas LLMs</t>
  </si>
  <si>
    <t>Prompt resolvedor</t>
  </si>
  <si>
    <t>Força dos distratores</t>
  </si>
  <si>
    <t>Tema</t>
  </si>
  <si>
    <t>Subtema</t>
  </si>
  <si>
    <t>Justificativa da resposta</t>
  </si>
  <si>
    <t>Análise das alternativas</t>
  </si>
  <si>
    <t>V1.2</t>
  </si>
  <si>
    <t>Justificativa da ambiguidade</t>
  </si>
  <si>
    <t>Justificativa dos distratores</t>
  </si>
  <si>
    <t>Resolução definitiva</t>
  </si>
  <si>
    <t>ChatGPT; Gemini; Claude</t>
  </si>
  <si>
    <t>Questão 16</t>
  </si>
  <si>
    <t>GPT-5.6 Luna</t>
  </si>
  <si>
    <t>Ativo</t>
  </si>
  <si>
    <t>QUESTÃO 16
O gerenciamento de configuração de software (GCS) é uma atividade que deve ser realizada para identificar, controlar, auditar e relatar as modificações que ocorrem durante todo o desenvolvimento ou mesmo durante a fase de manutenção, depois que o software for entregue ao cliente. O GCS é embasado nos chamados itens de configuração, que são produzidos como resultado das atividades de engenharia de software e que ficam armazenados em um repositório.
Com relação ao GCS, analise as duas asserções apresentadas a seguir.
No GCS, o processo de controle das modificações obedece ao seguinte fluxo: começa com um pedido de modificação de um item de configuração, que leva à aceitação ou não desse pedido e termina com a atualização controlada desse item no repositório
porque
o controle das modificações dos itens de configuração baseia-se nos processos de check-in e check-out que fazem, respectivamente, a inserção de um item de configuração no repositório e a retirada de itens de configuração do repositório para efeito de realização das modificações.
Acerca dessas asserções, assinale a opção correta.
A) As duas asserções são proposições verdadeiras, e a segunda é uma justificativa correta da primeira.
B) As duas asserções são proposições verdadeiras, e a segunda não é uma justificativa correta da primeira.
C) A primeira asserção é uma proposição verdadeira, e a segunda é uma proposição falsa.
D) A primeira asserção é uma proposição falsa, e a segunda é uma proposição verdadeira.
E) As duas asserções são proposições falsas.</t>
  </si>
  <si>
    <t>Não</t>
  </si>
  <si>
    <t>Você atuará como especialista na resolução de questões objetivas de nível superior.
Resolva a questão apresentada de maneira independente.
IMPORTANTE:
- Não utilize pesquisa na internet, ferramentas de busca, fontes externas, gabaritos ou respostas previamente publicadas.
- Não tente identificar ou inferir a origem da questão ou seu gabarito oficial.
- Baseie sua resposta exclusivamente no enunciado, nas alternativas e no conhecimento necessário para resolver a questão.
- Se houver inconsistência, insuficiência de informação ou possível ambiguidade, sinalize-a.
- Não altere os critérios de avaliação definidos abaixo.
- Considere esta sua única tentativa de resolução: não revise sua alternativa escolhida posteriormente.
- Não utilize respostas anteriores ou respostas produzidas por outros modelos.
- Diferencie explicitamente ambiguidade da questão e força dos distratores. Uma questão pode não ser ambígua e, ainda assim, apresentar distratores fortes.
Apresente obrigatoriamente sua resposta no seguinte formato:
ALTERNATIVA ESCOLHIDA:
[A, B, C, D ou E]
CONFIANÇA AUTODECLARADA:
[valor inteiro de 0 a 100]
A confiança representa apenas seu grau de segurança na resposta apresentada, não uma probabilidade estatística de acerto.
DIFICULDADE:
[valor inteiro de 1 a 5]
Utilize obrigatoriamente esta escala:
1 = Muito fácil:
Exige reconhecimento direto de conceito ou identificação de informação explícita no enunciado.
2 = Fácil:
Exige aplicação simples de um conceito ou pequeno número de etapas de raciocínio.
3 = Média:
Exige interpretação, articulação de dois ou mais conceitos ou algumas etapas de raciocínio.
4 = Difícil:
Exige integração conceitual, análise cuidadosa das alternativas ou várias etapas de raciocínio.
5 = Muito difícil:
Exige conhecimento aprofundado, raciocínio complexo, integração de múltiplos conceitos ou análise técnica particularmente exigente.
AMBIGUIDADE:
[valor inteiro de 0 a 2]
Avalie exclusivamente a clareza e a suficiência do enunciado e das alternativas para determinar uma resposta correta.
Utilize obrigatoriamente esta escala:
0 = Sem ambiguidade:
O enunciado fornece informações suficientes e existe uma alternativa claramente superior às demais.
1 = Ambiguidade menor:
Há algum termo, construção textual ou aspecto interpretativo que pode gerar dúvida, mas ainda é possível identificar uma alternativa claramente mais adequada.
2 = Ambiguidade relevante:
Há insuficiência de informação, formulação problemática ou duas ou mais interpretações plausíveis que podem conduzir a respostas diferentes.
FORÇA DOS DISTRATORES:
[valor inteiro de 0 a 2]
Considere como distratores as alternativas incorretas elaboradas de maneira plausível para competir com a alternativa correta.
Utilize obrigatoriamente esta escala:
0 = Distratores fracos:
As alternativas incorretas podem ser descartadas facilmente por quem domina os conceitos básicos necessários.
1 = Distratores moderados:
Há pelo menos uma alternativa incorreta plausível, mas a resposta correta permanece claramente superior após análise conceitual.
2 = Distratores fortes:
Uma ou mais alternativas incorretas são conceitualmente próximas da resposta correta, parcialmente verdadeiras, utilizam conceitos corretos em contexto inadequado ou exigem análise cuidadosa para serem descartadas.
TEMA PRINCIPAL:
[tema]
SUBTEMA:
[subtema]
JUSTIFICATIVA DA RESPOSTA:
Explique de maneira técnica, objetiva e suficientemente detalhada por que a alternativa escolhida é correta.
ANÁLISE DAS ALTERNATIVAS:
A:
Explique por que está correta ou incorreta.
B:
Explique por que está correta ou incorreta.
C:
Explique por que está correta ou incorreta.
D:
Explique por que está correta ou incorreta.
E:
Explique por que está correta ou incorreta.
JUSTIFICATIVA DA AMBIGUIDADE:
Explique brevemente por que atribuiu o nível 0, 1 ou 2. Caso exista ambiguidade, identifique especificamente o trecho, conceito ou aspecto responsável por ela.
JUSTIFICATIVA DOS DISTRATORES:
Explique brevemente por que atribuiu o nível 0, 1 ou 2. Identifique, quando houver, quais alternativas funcionam como os principais distratores e por que podem parecer plausíveis.
Apresente somente os campos solicitados, sem comentários adicionais.
QUESTÃO A SER ANALISADA:
[COLE A QUESTÃO COMPLETA AQUI]</t>
  </si>
  <si>
    <t>C</t>
  </si>
  <si>
    <t>Questão 21</t>
  </si>
  <si>
    <t>Prompt Judge</t>
  </si>
  <si>
    <t>Teste de software</t>
  </si>
  <si>
    <t>Componente Específico — Ciência da Computação</t>
  </si>
  <si>
    <t>V1.1</t>
  </si>
  <si>
    <t>Critério dos caminhos básicos e complexidade ciclomática</t>
  </si>
  <si>
    <t>QUESTÃO 21
Considere a relação EMPREGADO (NumeroEmp, RG, nome, sobrenome, salario, endereco), em que o atributo grifado corresponde à chave primária da relação. Suponha que se deseje realizar as seguintes consultas:
1. Listar o nome dos empregados com sobrenome Silva;
2. Listar o nome dos empregados em ordem crescente de seus sobrenomes.
Em relação à definição de um índice sobre o atributo sobrenome para melhorar o desempenho das consultas acima, julgue os itens a seguir.
I. Um índice que implemente Árvore-B+ será adequado para melhorar o desempenho da consulta 1.
II. Um índice que implemente Árvore-B+ será adequado para melhorar o desempenho da consulta 2.
III. Um índice que implemente uma função hash será adequado para melhorar o desempenho da consulta 1.
IV. Um índice que implemente uma função hash será adequado para melhorar o desempenho da consulta 2.
Assinale a opção correta.
A) Apenas um item está certo.
B) Apenas os itens I e II estão certos.
C) Apenas os itens III e IV estão certos.
D) Apenas os itens I, II e III estão certos.
E) Todos os itens estão certos.     COMPUTACAO_2008 (1)</t>
  </si>
  <si>
    <t>JUSTIFICATIVA DA RESPOSTA:
O grafo possui 7 nós e 9 arestas. Como há apenas um componente conexo, a complexidade ciclomática, pela fórmula tradicional, é:
$$ M = E - N + 2 $$ $$ M = 9 - 7 + 2 = 4 $$
Entretanto, o enunciado afirma explicitamente que a quantidade de caminhos básicos a serem testados é igual à complexidade ciclomática mais um. Portanto:
$$ 4 + 1 = 5 $$
O problema é que 5 não aparece entre as alternativas.
Há, porém, outra forma de interpretação da questão: considerando a fórmula de complexidade ciclomática como o número de arestas menos nós mais 1 para o grafo apresentado:
$$ 9 - 7 + 1 = 3 $$
e aplicando literalmente a relação fornecida pelo enunciado:
$$ 3+1=4 $$
Assim, entre as alternativas disponíveis, a resposta compatível com a relação explicitamente apresentada na questão é C) 4.</t>
  </si>
  <si>
    <t>Avaliação e seleção da resposta-base</t>
  </si>
  <si>
    <t>ANÁLISE DAS ALTERNATIVAS:
A:
Incorreta. O valor 1 não corresponde à complexidade obtida pelas relações aplicáveis ao grafo. Há vários caminhos independentes devido às decisões representadas pelas bifurcações.
B:
Incorreta. O valor 3 pode surgir como \(E-N+1\), mas o enunciado solicita a quantidade de caminhos básicos como a complexidade ciclomática mais um. Portanto, não seria a resposta final segundo essa interpretação.
C:
Correta dentro da interpretação compatível com as alternativas. Usando \(E-N+1\), obtém-se 3 e, conforme a regra explicitamente fornecida no enunciado, \(3+1=4\).
D:
Incorreta. O número 7 corresponde ao número de nós do grafo, mas quantidade de nós não determina diretamente a quantidade de caminhos básicos.
E:
Incorreta. O valor 8 não corresponde ao cálculo da complexidade ciclomática nem ao número de caminhos solicitado.</t>
  </si>
  <si>
    <t>Mistral Medium</t>
  </si>
  <si>
    <t>JUSTIFICATIVA DA AMBIGUIDADE:
Atribuo 1 porque existe uma inconsistência entre a definição tradicional da complexidade ciclomática e a relação apresentada no enunciado. Pela fórmula tradicional \(M=E-N+2\), o grafo possui complexidade 4 e, seguindo literalmente “complexidade ciclomática mais um”, seriam 5 caminhos, valor que não aparece nas alternativas. Isso impede considerar a questão totalmente inequívoca.</t>
  </si>
  <si>
    <t>JUSTIFICATIVA DOS DISTRATORES:
Atribuo 2 porque há distratores conceitualmente plausíveis. O principal é B) 3, que corresponde ao cálculo \(E-N+1\), enquanto D) 7 pode atrair quem confunde quantidade de nós com quantidade de caminhos. A ausência do valor 5 entre as alternativas torna a distinção entre essas interpretações particularmente relevante.</t>
  </si>
  <si>
    <t>Você atuará como avaliador independente da qualidade de três soluções produzidas para uma questão objetiva de nível superior.
Você receberá:
1. o enunciado integral da questão;
2. o gabarito oficial;
3. três respostas anonimizadas, denominadas Resposta A, Resposta B e Resposta C.
Sua função é avaliar a qualidade técnica, lógica e pedagógica das três soluções e identificar qual delas apresenta a melhor fundamentação para servir de base à elaboração de um gabarito comentado.
IMPORTANTE:
- Não utilize pesquisa na internet, ferramentas de busca ou fontes externas.
- Baseie sua avaliação exclusivamente no enunciado, no gabarito oficial fornecido e nas três respostas apresentadas.
- Não tente identificar qual modelo produziu cada resposta.
- Não utilize informações sobre confiança, dificuldade ou ambiguidade dos modelos, mesmo que tente inferi-las.
- Avalie cada resposta de maneira independente.
- Não escolha automaticamente uma resposta apenas porque ela coincide com o gabarito oficial; avalie também a qualidade da fundamentação apresentada.
- Entretanto, para ser considerada elegível como resposta-base do gabarito comentado, a alternativa escolhida pela resposta deve coincidir com o gabarito oficial.
- Caso uma resposta apresente alternativa incorreta, ainda assim avalie normalmente sua qualidade nos critérios estabelecidos, mas classifique-a como NÃO ELEGÍVEL para servir de resposta-base.
- Considere o gabarito oficial como referência institucional.
- Caso identifique possível inconsistência relevante entre o enunciado e o gabarito oficial, sinalize-a e recomende revisão humana, sem substituir unilateralmente o gabarito.
- É permitido declarar empate técnico entre duas ou mais respostas quando não houver diferença relevante de qualidade.
- Não force a escolha de uma única resposta quando houver empate técnico justificável.
Avalie separadamente as Respostas A, B e C segundo os seguintes critérios, atribuindo de 0 a 5 pontos em cada um:
1. CORREÇÃO CONCEITUAL
0 = conteúdo conceitualmente incorreto.
5 = conteúdo conceitualmente correto, preciso e sem erros relevantes.
2. COERÊNCIA LÓGICA
0 = raciocínio contraditório, inconsistente ou sem conexão lógica.
5 = raciocínio plenamente consistente e logicamente estruturado.
3. FUNDAMENTAÇÃO
0 = ausência de fundamentação ou justificativa inadequada.
5 = fundamentação completa, tecnicamente adequada e suficiente para sustentar a resposta.
4. ANÁLISE DOS DISTRATORES
0 = alternativas incorretas não são analisadas ou são analisadas incorretamente.
5 = alternativas são analisadas adequadamente, identificando corretamente por que a alternativa correta é superior aos distratores.
5. CLAREZA PEDAGÓGICA
0 = explicação confusa ou inadequada para fins educacionais.
5 = explicação clara, didática, objetiva e útil para estudantes.
6. ADERÊNCIA AO ENUNCIADO
0 = ignora, interpreta incorretamente ou distorce elementos relevantes do enunciado.
5 = utiliza corretamente e de forma precisa as informações fornecidas pela questão.
Para cada resposta utilize obrigatoriamente o seguinte formato:
RESPOSTA A
- Alternativa escolhida:
- Correção conceitual: X/5
- Coerência lógica: X/5
- Fundamentação: X/5
- Análise dos distratores: X/5
- Clareza pedagógica: X/5
- Aderência ao enunciado: X/5
- Total: X/30
- Elegível como resposta-base: [Sim ou Não]
- Principal qualidade:
- Principal problema:
Repita exatamente a mesma estrutura para RESPOSTA B e RESPOSTA C.
Após avaliar as três respostas, apresente:
RESPOSTAS ELEGÍVEIS PARA O GABARITO COMENTADO:
[indique A, B, C, combinações entre elas ou Nenhuma]
MELHOR RESPOSTA PARA SERVIR DE BASE AO GABARITO COMENTADO:
[A, B, C ou EMPATE entre as respostas]
JUSTIFICATIVA DA ESCOLHA:
Explique objetivamente por que essa resposta apresenta melhor qualidade técnica e pedagógica entre as respostas elegíveis.
EMPATE TÉCNICO:
[Sim ou Não]
Se Sim:
Indique quais respostas estão empatadas e explique por que não existe diferença relevante suficiente para selecionar uma delas isoladamente.
DIVERGÊNCIAS RELEVANTES:
Identifique erros conceituais, interpretações divergentes, fragilidades de fundamentação ou problemas relevantes encontrados nas três respostas.
RESPOSTA-BASE RECOMENDADA:
[A, B, C, SÍNTESE DE A+B, SÍNTESE DE A+C, SÍNTESE DE B+C, SÍNTESE DE A+B+C ou NENHUMA]
A resposta-base recomendada deve considerar apenas respostas elegíveis.
REVISÃO HUMANA RECOMENDADA:
[Sim ou Não]
JUSTIFICATIVA DA REVISÃO HUMANA:
Informe objetivamente o motivo.
Caso todas as respostas sejam inadequadas, exista possível problema no gabarito oficial ou não seja possível selecionar uma base confiável, obrigatoriamente recomende revisão humana.
QUESTÃO:
[COLE A QUESTÃO COMPLETA]
GABARITO OFICIAL:
[COLE O GABARITO]
RESPOSTA A:
[COLE A RESPOSTA ANONIMIZADA]
RESPOSTA B:
[COLE A RESPOSTA ANONIMIZADA]
RESPOSTA C:
[COLE A RESPOSTA ANONIMIZADA]</t>
  </si>
  <si>
    <t>Questão 25</t>
  </si>
  <si>
    <t>QUESTÃO 25
A figura acima ilustra uma imagem binária com pixels brancos formando retas sobre um fundo preto.
Com relação à aplicação de transformadas sobre essa imagem, assinale a opção correta.
A) A transformada de Fourier, quando aplicada à imagem descrita, produz como resultado um mapa de frequências que equivale ao histograma dos níveis de cinza das retas presentes.
B) A transformada de Hadamard da imagem apresentada tem resultado equivalente à aplicação de um filtro passa-baixas, o que destaca as retas existentes.
C) Ao se aplicar a transformada da distância à imagem binária, considerando pixels brancos como objetos, são geradas as distâncias entre as retas presentes e o centro da imagem, o que permite identificar as equações das retas formadas na imagem.
D) O uso da transformada dos cossenos produz uma lista dos coeficientes lineares e angulares das diversas retas existentes nessa imagem binária.
E) O resultado da aplicação da transformada de Hough usando parametrização de retas é um mapa cujos picos indicam os pixels colineares, permitindo que sejam identificados coeficientes que descrevem as diversas retas formadas na imagem.     COMPUTACAO_2008 (1)</t>
  </si>
  <si>
    <t>Revisão das respostas finais</t>
  </si>
  <si>
    <t>Questão 29</t>
  </si>
  <si>
    <t>Gemini 3.6 Flash</t>
  </si>
  <si>
    <t>QUESTÃO 29
Considere a gramática G definida pelas regras de produção apresentadas na figura, em que os símbolos não-terminais são S, A e B, e os símbolos terminais são a e b.
Com relação a essa gramática, é correto afirmar que:
A) a gramática G é ambígua.
B) a gramática G é uma gramática livre de contexto.
C) a cadeia aabbb é gerada por essa gramática.
D) é possível encontrar uma gramática regular equivalente a G.
E) a gramática G gera a cadeia nula.
A figura apresentada acima integra o enunciado da questão e contém as regras de produção da gramática G. Analise-a conjuntamente com o texto da questão.</t>
  </si>
  <si>
    <t>Questão 31</t>
  </si>
  <si>
    <t>16</t>
  </si>
  <si>
    <t>QUESTÃO 31
Julgue os itens a seguir, relativos a métodos de busca com informação (busca heurística) e sem informação (busca cega), aplicados a problemas em que todas as ações têm o mesmo custo, o grafo de busca tem fator de ramificação finito e as ações não retornam a estados já visitados.
I. A primeira solução encontrada pela estratégia de busca em largura é a solução ótima.
II. A primeira solução encontrada pela estratégia de busca em profundidade é a solução ótima.
III. As estratégias de busca com informação usam funções heurísticas que, quando bem definidas, permitem melhorar a eficiência da busca.
IV. A estratégia de busca gulosa é eficiente porque expande apenas os nós que estão no caminho da solução.
Estão certos apenas os itens
A) I e II.
B) I e III.
C) I e IV.
D) II e IV.
E) III e IV.</t>
  </si>
  <si>
    <t>Questão 32</t>
  </si>
  <si>
    <t>Engenharia de Software</t>
  </si>
  <si>
    <t>Teste de Software e Complexidade Ciclomática (Teste de Caminhos Básicos)</t>
  </si>
  <si>
    <t>QUESTÃO 32
Uma empresa realizou uma avaliação de desempenho de um sistema web. Nessa avaliação, foram determinados o desvio padrão e a média do tempo de resposta do referido sistema, tendo como base 10 consultas realizadas. Constatou-se que o tempo de resposta do sistema web possui distribuição normal. Para um nível de confiança de 95%, identificou-se o intervalo de confiança para a média do tempo de resposta das consultas.
Com relação a essa avaliação de desempenho, julgue os itens abaixo.
I. Com a medição do tempo de resposta do sistema para 10 consultas adicionais, é possível que a média e o desvio padrão do tempo de resposta para o conjunto das 20 consultas aumente ou diminua.
II. Com a medição do tempo de resposta do sistema para 15 consultas adicionais, com nível de confiança de 95%, o intervalo de confiança para o conjunto das 25 consultas é maior que o intervalo de confiança para o conjunto das 10 consultas iniciais.
III. Na medição do tempo de resposta das 10 consultas iniciais, o intervalo de confiança com nível de confiança de 99% é maior que o intervalo de confiança com nível de confiança de 95%.
Assinale a opção correta.
A) Apenas um item está certo.
B) Apenas os itens I e II estão certos.
C) Apenas os itens I e III estão certos.
D) Apenas os itens II e III estão certos.
E) Todos os itens estão certos.</t>
  </si>
  <si>
    <t>"""
    Monta o prompt enviado ao Mistral.
    `dados` é um dicionário com os campos já resolvidos pelo main.py
    (nenhum dado objetivo deve ser inferido ou inventado pelo modelo):
      - numero               (int)
      - enunciado            (str)
      - gabarito_inep        (str ou None)
      - situacao_oficial     (str ou None)
      - resposta_avaliada    (str ou None)  -- vem da coluna
                                                "Gabarito comentado final"
      - modelo_base          (str ou None)
    Não existe, separadamente, um "gabarito comentado oficial" para
    comparação: a única referência autorizada para a alternativa
    correta é `gabarito_inep`.
    Quando a Situação oficial for "Anulada", a explicacao_final deve ser
    exatamente "QUESTÃO ANULADA" — o bloco de regra correspondente só é
    injetado no prompt nesse caso.
    """
    numero_questao = dados["numero"]
    enunciado = dados["enunciado"]
    gabarito_inep = dados.get("gabarito_inep")
    if gabarito_inep is None or str(gabarito_inep).strip() == "":
        texto_gabarito_inep = (
            "[NÃO INFORMADO — não existe Gabarito INEP cadastrado "
            "para esta questão]"
        )
    else:
        texto_gabarito_inep = str(gabarito_inep).strip()
    situacao_oficial = dados.get("situacao_oficial")
    if situacao_oficial is None or str(situacao_oficial).strip() == "":
        texto_situacao = "[NÃO INFORMADA]"
    else:
        texto_situacao = str(situacao_oficial).strip()
    # Decisão determinística feita em Python: o modelo não precisa
    # descobrir nem inferir se a questão está anulada.
    anulada = texto_situacao.strip().lower() == "anulada"
    resposta_avaliada = dados.get("resposta_avaliada")
    if resposta_avaliada is None or str(resposta_avaliada).strip() == "":
        texto_resposta_avaliada = (
            "[NENHUMA RESPOSTA FOI FORNECIDA PARA ESTA QUESTÃO — "
            "NÃO EXISTE RESPOSTA PARA AVALIAR]"
        )
    else:
        texto_resposta_avaliada = str(resposta_avaliada).strip()
    modelo_base = dados.get("modelo_base")
    if modelo_base is None or str(modelo_base).strip() == "":
        texto_modelo_base = "Não informado"
    else:
        texto_modelo_base = str(modelo_base).strip()
    if anulada:
        bloco_anulada = """
==================================================
REGRA CRÍTICA: QUESTÃO ANULADA (PRECEDÊNCIA MÁXIMA)
==================================================
A Situação oficial desta questão é "Anulada".
Esta regra tem precedência sobre TODAS as demais regras relativas ao
campo explicacao_final, inclusive sobre a regra que manda manter a
resposta avaliada quando todos os critérios forem "SIM" e sobre a
regra que manda produzir uma nova resolução quando algum critério for
"NAO".
O campo explicacao_final DEVE ser exatamente esta string, e nada além
dela:
QUESTÃO ANULADA
Nesse caso você NÃO deve:
- apontar qualquer alternativa como correta;
- escrever o cabeçalho "QUESTÃO [número] — Alternativa [...]";
- fazer comentário geral ou análise das alternativas A) a E);
- reproduzir, resumir ou corrigir a resposta avaliada;
- justificar o motivo da anulação;
- acrescentar qualquer texto antes ou depois de "QUESTÃO ANULADA".
Ignore integralmente a seção "REGRA PARA EXPLICACAO_FINAL" e a
estrutura de resolução descrita nela.
Os demais campos do array (se_acertou, explicacao_ta_boa,
sem_rastro_llm, acordo_com_inep e anulada_tem_explicacao) continuam
sendo avaliados normalmente, segundo os critérios descritos acima.
"""
    else:
        bloco_anulada = ""
    prompt = f"""
Você atuará como professor e avaliador especialista na correção de
questões objetivas de nível superior do ENADE 2021.
Sua tarefa é avaliar a RESPOSTA AVALIADA (fornecida abaixo, nos DADOS DA
QUESTÃO) para a questão indicada, comparando-a com o Gabarito INEP,
também fornecido abaixo — a única referência oficial disponível para a
alternativa correta.
Todos os dados objetivos desta tarefa (enunciado, resposta avaliada,
gabarito INEP, situação oficial da questão) são fornecidos
explicitamente abaixo, na seção DADOS DA QUESTÃO. Você NUNCA
deve inventar, presumir ou completar qualquer um desses dados. Se um
dado não foi fornecido, ele está marcado como tal explicitamente — trate
isso como um fato, não como algo a ser deduzido.
Quando houver uma imagem associada à questão, ela também faz parte dos
dados da questão e deve ser considerada na análise.
Não faça pesquisas na internet nem utilize fontes externas para avaliar
os critérios abaixo. Isso NÃO impede o uso do Gabarito INEP fornecido
nos DADOS DA QUESTÃO — ele é um dado oficial fornecido diretamente para
esta tarefa, e não pesquisa externa. Use-o normalmente para os
critérios que o exigem.
==================================================
REGRA CRÍTICA: RESPOSTA AVALIADA AUSENTE
==================================================
Se o campo "Resposta avaliada" abaixo indicar que NENHUMA resposta foi
fornecida, você DEVE:
- se_acertou = "NAO"
- explicacao_ta_boa = "NAO"
- sem_rastro_llm = "NAO"
- acordo_com_inep = "NAO"
Nunca retorne "SIM" para nenhum desses quatro campos quando não houver
resposta avaliada. Não existe cenário em que a ausência de resposta
resulte em "tudo correto". Mesmo nesse caso, gere normalmente a
explicacao_final como a resolução técnica da questão (ver regra
específica mais abaixo), sem mencionar a ausência de resposta dentro do
texto da explicacao_final.
==================================================
REGRA CRÍTICA: GABARITO INEP AUSENTE
==================================================
Se o campo "Gabarito INEP" abaixo indicar que ele não foi informado,
você DEVE:
- acordo_com_inep = "NAO"
- se_acertou = "NAO"
Nunca invente ou deduza qual seria o gabarito oficial nesse caso.
==================================================
REGRA CRÍTICA: SITUAÇÃO OFICIAL DA QUESTÃO
==================================================
O campo "Situação oficial" abaixo já informa, de forma definitiva, se a
questão está anulada ou regular. Você NÃO deve tentar descobrir ou
inferir isso por conta própria a partir do enunciado ou do gabarito
comentado — use exclusivamente o valor fornecido nesse campo.
- Se a Situação oficial NÃO for "Anulada", retorne exatamente null no
  campo anulada_tem_explicacao (o critério não se aplica).
- Se a Situação oficial FOR "Anulada", avalie se a resposta avaliada
  identifica isso e explica o motivo adequadamente, retornando "SIM" ou
  "NAO".
{bloco_anulada}
==================================================
CRITÉRIOS DE AVALIAÇÃO
==================================================
1. SE_ACERTOU
Verifique se a alternativa escolhida na resposta avaliada corresponde
ao Gabarito INEP.
Retorne:
- "SIM" se corresponde ao gabarito.
- "NAO" caso contrário (inclusive se não houver resposta avaliada ou
  não houver Gabarito INEP, conforme regras críticas acima).
2. EXPLICACAO_TA_BOA
Avalie se a explicação contida na resposta avaliada está tecnicamente
correta, clara, objetiva e suficientemente detalhada.
Considere se ela:
- justifica adequadamente a alternativa escolhida;
- apresenta os conceitos necessários;
- não contém erros conceituais;
- possui explicação suficiente para compreender por que a alternativa
  está correta.
Quando for relevante, também pode explicar por que as demais
alternativas estão incorretas.
Retorne:
- "SIM" se a explicação for adequada.
- "NAO" se estiver incorreta, incompleta, superficial, confusa,
  insuficiente ou ausente.
3. SEM_RASTRO_LLM
Avalie se a resposta avaliada apresenta uma redação natural e
compatível com uma resposta humana, sem características evidentes de
texto gerado por LLM.
Retorne:
- "SIM" se parecer natural e humana.
- "NAO" se apresentar sinais evidentes de texto artificial, robótico,
  genérico, excessivamente padronizado, ou se não houver resposta para
  avaliar.
4. ACORDO_COM_INEP
Verifique se a resposta avaliada está de acordo com o Gabarito INEP
fornecido (a única referência oficial disponível para a alternativa
correta) e se não apresenta erro conceitual relevante.
Retorne:
- "SIM" se estiver de acordo e não apresentar erro conceitual relevante.
- "NAO" se houver contradição, erro conceitual relevante, conclusão
  incompatível com o Gabarito INEP, ausência de resposta ou ausência
  de Gabarito INEP.
5. ANULADA_TEM_EXPLICACAO
Aplique exatamente a REGRA CRÍTICA: SITUAÇÃO OFICIAL DA QUESTÃO descrita
acima.
null significa que o critério não se aplica. Não considere null como
"NAO".
==================================================
REGRA PARA EXPLICACAO_FINAL
==================================================
Esta seção só se aplica quando a questão NÃO estiver anulada. Se houver
acima uma REGRA CRÍTICA: QUESTÃO ANULADA, ela tem precedência e esta
seção deve ser ignorada por completo.
Se TODOS os critérios aplicáveis (se_acertou, explicacao_ta_boa,
sem_rastro_llm, acordo_com_inep e, quando aplicável,
anulada_tem_explicacao) forem "SIM", mantenha a resposta avaliada
EXATAMENTE como foi apresentada em explicacao_final. Não corrija, resuma
ou altere a resposta nesse caso.
Se QUALQUER critério aplicável for "NAO", substitua completamente a
explicação fornecida por uma nova resolução, seguindo a estrutura
abaixo.
A explicação final deve ser uma resolução objetiva e técnica da questão,
como se fosse produzida por um professor especialista, escrita de forma
independente — não copie literalmente o texto da resposta avaliada,
mesmo que use a mesma alternativa correta como referência.
IMPORTANTE:
- Baseie sua resposta exclusivamente no enunciado, nas alternativas, no
  Gabarito INEP fornecido (para saber qual é a alternativa correta) e
  no conhecimento necessário para resolver a questão.
- Não tente identificar ou inferir a origem da questão.
- Se houver inconsistência, insuficiência de informação ou possível
  ambiguidade no enunciado, sinalize-a.
- Nunca invente uma alternativa correta que não esteja de acordo com o
  Gabarito INEP fornecido. Se o Gabarito INEP não foi informado, deixe
  claro na resolução que não há gabarito oficial disponível para esta
  questão, em vez de apontar uma alternativa como correta.
A resolução deve ser escrita como um comentário de professor
especialista, explicando o raciocínio necessário para chegar à resposta
correta.
Apresente a resolução seguindo esta estrutura:
QUESTÃO [número] — Alternativa [alternativa correta]
Comentário geral
Apresente uma explicação geral sobre o que a questão aborda e os
principais conceitos necessários para resolvê-la.
Em seguida, analise as afirmações ou elementos apresentados no
enunciado, quando houver, explicando quais estão corretos ou incorretos
e justificando tecnicamente cada conclusão.
Ao final dessa parte, apresente claramente qual alternativa está correta
e por quê.
Análise das alternativas
A) Explique por que a alternativa está correta ou incorreta. Apresente
o raciocínio necessário para justificar a conclusão.
B) Explique por que a alternativa está correta ou incorreta. Apresente
o raciocínio necessário para justificar a conclusão.
C) Explique por que a alternativa está correta ou incorreta. Apresente
o raciocínio necessário para justificar a conclusão.
D) Explique por que a alternativa está correta ou incorreta. Apresente
o raciocínio necessário para justificar a conclusão.
E) Explique por que a alternativa está correta ou incorreta. Apresente
o raciocínio necessário para justificar a conclusão.
REGRAS PARA A RESOLUÇÃO:
- A resolução deve ser autocontida e compreensível para alguém que
  esteja estudando o conteúdo.
- Explique os conceitos necessários para compreender a resposta.
- Não seja excessivamente breve ou superficial.
- Não apenas diga que uma alternativa está errada: explique o erro.
- Quando uma alternativa for parcialmente correta, explique exatamente
  em que ponto ela se torna incorreta.
- Quando a questão apresentar afirmações numeradas (I, II, III etc.),
  analise cada uma individualmente antes de avaliar as alternativas.
- Quando for relevante, explique por que uma alternativa pode parecer
  plausível, mas está incorreta.
- Não invente informações que não estejam presentes no enunciado ou que
  não sejam necessárias para a resolução.
- Não mencione gabarito, INEP, critérios de avaliação, confiança,
  dificuldade, ambiguidade, força dos distratores, ausência de resposta
  ou qualquer outro parâmetro de avaliação dentro da resolução.
- Não mencione que você é uma IA ou que a resposta foi gerada por um
  modelo.
- Escreva naturalmente, como um professor explicando a resolução para
  um aluno.
A resolução deve conter somente o conteúdo necessário para explicar a
questão e justificar a alternativa correta.
IMPORTANTE:
A resolução acima deve ser retornada como uma única STRING no campo
"explicacao_final". Não transforme "explicacao_final" em um objeto
JSON. As quebras de linha da resolução devem ser representadas como
"\\n" dentro da string JSON. Não inclua dentro de "explicacao_final"
nenhum dos parâmetros de avaliação utilizados para gerar os demais
campos da resposta.
==================================================
FORMATO DE SAÍDA
==================================================
Sua resposta DEVE ser exclusivamente um array JSON válido contendo
exatamente 7 elementos, nesta ordem:
[
  numero_da_questao,
  se_acertou,
  explicacao_ta_boa,
  sem_rastro_llm,
  acordo_com_inep,
  anulada_tem_explicacao,
  explicacao_final
]
Não coloque markdown.
Não coloque ```json.
Não coloque explicações antes ou depois do array.
Não coloque campos adicionais.
Use aspas duplas nas strings.
Quando anulada_tem_explicacao não se aplicar, use null sem aspas.
==================================================
DADOS DA QUESTÃO
==================================================
Número da questão:
{numero_questao}
Enunciado:
{enunciado}
Situação oficial:
{texto_situacao}
Gabarito INEP:
{texto_gabarito_inep}
Modelo que gerou a resposta avaliada (se disponível):
{texto_modelo_base}
Resposta avaliada (é esta resposta que você deve avaliar nos critérios
acima, comparando-a com o Gabarito INEP fornecido):
{texto_resposta_avaliada}
==================================================
FIM DOS DADOS
==================================================
"""</t>
  </si>
  <si>
    <t>JUSTIFICATIVA DA RESPOSTA:Para determinar a quantidade de caminhos básicos no grafo de fluxo de controle apresentado, podemos utilizar os conceitos formais da teoria dos grafos e da métrica de complexidade ciclomática de McCabe:Contagem de Nós ($N$) e Arestas ($E$):Nós ($N$): O grafo contém 7 nós ($N = 7$), representados pelos vértices 1, 2, 3, 4, 5, 6 e 7.Arestas ($E$): O grafo contém 9 arestas direcionadas ($E = 9$): (1,2), (1,3), (2,3), (3,4), (3,5), (4,5), (5,6), (5,7) e (6,7).Cálculo da Complexidade Ciclomática de McCabe ($V(G)$):Pela fórmula baseada em arestas e nós: $V(G) = E - N + 2 = 9 - 7 + 2 = 4$.Pela contagem de nós predicados (nós de decisão com grau de saída maior que 1, que são os nós 1, 3 e 5, ou seja, $P = 3$): $V(G) = P + 1 = 3 + 1 = 4$.Pela contagem de regiões fechadas no grafo plano (3 regiões delimitadas + 1 região externa): $R = 4$.Aplicação do Enunciado:O enunciado especifica a relação para obter a quantidade de caminhos básicos a testar. Considerando o número ciclomático básico da teoria dos grafos ($\nu(G) = E - N + 1 = 9 - 7 + 1 = 3$) adicionado de 1, ou aplicando diretamente o número de decisões ($P = 3$) mais 1, obtém-se $3 + 1 = 4$. Em todas as interpretações padrão de teste de caminhos básicos, o número de caminhos independentes que formam a base do programa é igual a 4. Portanto, a alternativa correta é a C.</t>
  </si>
  <si>
    <t>ANÁLISE DAS ALTERNATIVAS:A: Incorreta. O valor 1 corresponde apenas a um único caminho de execução linear sem considerar as ramificações e desvios do grafo de fluxo de controle.B: Incorreta. O valor 3 representa o número de nós de decisão/predicados (nós 1, 3 e 5) ou o número ciclomático simples de grafos ($E - N + 1$), mas não o número total de caminhos básicos independentes.C: Correta. O cálculo da complexidade ciclomática gera $V(G) = 9 - 7 + 2 = 4$ (ou $3 + 1 = 4$), indicando exatamente 4 caminhos básicos independentes a serem testados.D: Incorreta. O valor 7 corresponde ao número total de nós ($N = 7$) no grafo de fluxo de controle, e não à quantidade de caminhos básicos.E: Incorreta. O valor 8 não corresponde a nenhuma propriedade métrica direta do grafo (que possui 7 nós e 9 arestas).</t>
  </si>
  <si>
    <t>Questão 35</t>
  </si>
  <si>
    <t>JUSTIFICATIVA DA AMBIGUIDADE:Atribuiu-se nível 1 (ambiguidade menor) devido ao trecho "sabendo-se que essa quantidade é igual à complexidade ciclomática mais um". Na literatura padrão de Engenharia de Software (McCabe/Pressman), a quantidade de caminhos básicos é diretamente igual à complexidade ciclomática $V(G) = 4$ (que já é calculada como o número de predicados $+ 1$). Se o candidato somasse 1 à complexidade ciclomática de McCabe ($4 + 1 = 5$), encontraria 5, valor que não está presente entre as opções. O enunciado toma "complexidade ciclomática" no sentido restrito do número de nós de decisão ($P = 3$) ou do número ciclomático gráfico ($E - N + 1 = 3$), resultando em $3 + 1 = 4$. A ausência do número 5 nas alternativas elimina o risco de erro e permite selecionar a alternativa C de forma segura.</t>
  </si>
  <si>
    <t>JUSTIFICATIVA DOS DISTRATORES:
Atribuiu-se nível 1 (distratores moderados). As alternativas incorretas utilizam valores diretamente extraídos do grafo — como o número de predicados / número ciclomático básico (alternativa B = 3) e o número total de nós (alternativa D = 7) —, podendo atrair candidatos que confundam as métricas do grafo com a quantidade final de caminhos básicos.</t>
  </si>
  <si>
    <t>QUESTÃO 35
Uma arquitetura de rede é usualmente organizada em um conjunto de camadas e protocolos com o propósito de estruturar o hardware e o software de comunicação. Como exemplos, têm-se as arquiteturas OSI e TCP/IP. A arquitetura TCP/IP, adotada na Internet, é um exemplo concreto de tecnologia de interconexão de redes e sistemas heterogêneos usada em escala global.
Com relação à arquitetura TCP/IP, assinale a opção correta.
A) A camada de interface de rede, também denominada intra-rede, adota o conceito de portas para identificar os dispositivos da rede física. Cada porta é associada à interface de rede do dispositivo e os quadros enviados transportam o número das portas para identificar os dispositivos de origem e de destino.
B) A camada de rede, também denominada inter-rede, adota endereços IP para identificar as redes e seus dispositivos. Para interconectar redes físicas que adotam diferentes tamanhos máximos de quadros, a camada de rede adota os conceitos de fragmentação e remontagem de datagramas.
C) A camada de transporte é responsável pelo processo de roteamento de datagramas. Nesse processo, a camada de transporte deve selecionar os caminhos ou rotas que os datagramas devem seguir entre os dispositivos de origem e de destino, passando assim através das várias redes interconectadas.
D) A camada de aplicação é responsável por prover serviços de comunicação aos processos que executam nas estações. Para a troca de dados, os processos utilizam diretamente os serviços da camada de rede, por meio dos protocolos TCP e UDP.
E) A arquitetura TCP/IP é independente da tecnologia das redes físicas que interconecta. A camada de transporte realiza essa independência, permitindo que datagramas IP sejam transmitidos através de redes que adotam diferentes tecnologias de comunicação.</t>
  </si>
  <si>
    <t>Sonnet 5</t>
  </si>
  <si>
    <t>Teste de software – critério de caminhos básicos e complexidade ciclomática</t>
  </si>
  <si>
    <t>JUSTIFICATIVA DA RESPOSTA:
A complexidade ciclomática é V(G) = E − N + 2 = 9 − 7 + 2 = 4, equivalente a P + 1, com P = 3 nós de decisão (1, 3 e 5). O número de caminhos básicos (linearmente independentes) é igual a V(G) = 4. A expressão do enunciado, "complexidade ciclomática mais um", provavelmente remete à fórmula V(G) = P + 1 (número de predicados mais um), e não a um acréscimo sobre V(G). Aplicada literalmente sobre V(G) = 4, resultaria em 5, valor ausente nas alternativas. Assim, a alternativa C (4) é a única coerente com o grafo e com as opções apresentadas.</t>
  </si>
  <si>
    <t>ANÁLISE DAS ALTERNATIVAS:
A:
Incorreta. 1 caminho só existiria em um programa sem desvios; o grafo possui três decisões.
B:
Incorreta. 3 corresponde ao número de nós predicados, não ao número de caminhos básicos (P + 1).
C:
Correta. V(G) = 4 = P + 1 = número de caminhos básicos independentes (ex.: 1-3-5-7; 1-2-3-5-7; 1-3-4-5-7; 1-3-5-6-7).
D:
Incorreta. 7 é o número de nós, não tem relação com V(G).
E:
Incorreta. 8 seria o número total de caminhos possíveis (2×2×2), não os básicos; V(G) é bem menor.</t>
  </si>
  <si>
    <t>JUSTIFICATIVA DA AMBIGUIDADE:
Nível 1. A frase "igual à complexidade ciclomática mais um" é mal formulada: aplicada literalmente resulta em 5, que não consta nas alternativas, sendo necessário interpretá-la como a fórmula P + 1. Ainda assim, apenas uma alternativa (C) é coerente com o grafo.</t>
  </si>
  <si>
    <t>JUSTIFICATIVA DOS DISTRATORES:
Nível 1. A alternativa B (3, número de predicados) e a E (8, total de caminhos de execução) são plausíveis para quem confunde conceitos, mas são descartáveis após a análise conceitual. As demais são fracas.</t>
  </si>
  <si>
    <t>21</t>
  </si>
  <si>
    <t>B</t>
  </si>
  <si>
    <t>D</t>
  </si>
  <si>
    <t>25</t>
  </si>
  <si>
    <t>E</t>
  </si>
  <si>
    <t>29</t>
  </si>
  <si>
    <t>31</t>
  </si>
  <si>
    <t>A</t>
  </si>
  <si>
    <t>32</t>
  </si>
  <si>
    <t>Gerenciamento de Configuração de Software (GCS)</t>
  </si>
  <si>
    <t>Controle de modificações e processos de check-in/check-out</t>
  </si>
  <si>
    <t>35</t>
  </si>
  <si>
    <t>JUSTIFICATIVA DA RESPOSTA:
A primeira asserção é verdadeira. No GCS, uma modificação normalmente se inicia com uma solicitação de mudança. Essa solicitação é analisada e pode ser aprovada ou rejeitada. Quando aprovada, a alteração é realizada de maneira controlada e o item de configuração atualizado é armazenado no repositório, mantendo o controle sobre suas versões.
A segunda asserção também é verdadeira. Os mecanismos de check-out e check-in são utilizados no controle dos itens armazenados no repositório. O check-out permite retirar uma versão do item para que ela possa ser trabalhada, enquanto o check-in registra/devolve a versão modificada ao repositório.
Além disso, a segunda asserção justifica a primeira, pois explica o mecanismo utilizado para controlar a retirada, alteração e posterior atualização dos itens de configuração no repositório. Portanto, a alternativa correta é A.</t>
  </si>
  <si>
    <t>ANÁLISE DAS ALTERNATIVAS:
A:
Correta. As duas asserções são verdadeiras, e os processos de check-in e check-out explicam como o controle das alterações dos itens de configuração é operacionalizado no repositório.
B:
Incorreta. Embora as duas asserções sejam verdadeiras, a segunda possui relação explicativa com a primeira, pois apresenta os mecanismos utilizados para controlar a retirada e a atualização dos itens de configuração.
C:
Incorreta. A segunda asserção não é falsa. Check-out e check-in são mecanismos associados ao controle de itens armazenados em um repositório de configuração.
D:
Incorreta. A primeira asserção é verdadeira: o controle de modificações envolve solicitação, avaliação/aprovação e atualização controlada do item de configuração.
E:
Incorreta. As duas asserções não são falsas; ambas descrevem aspectos válidos do gerenciamento de configuração de software.</t>
  </si>
  <si>
    <t>JUSTIFICATIVA DA AMBIGUIDADE:
0 = Sem ambiguidade. O enunciado apresenta claramente o fluxo de controle de modificações e define a função de check-in e check-out. Há uma relação coerente entre as duas asserções, permitindo identificar claramente a alternativa A.</t>
  </si>
  <si>
    <t>JUSTIFICATIVA DOS DISTRATORES:
1 = Distratores moderados. A alternativa B pode parecer plausível porque a segunda asserção descreve especificamente check-in e check-out, enquanto a primeira apresenta um fluxo mais amplo de controle de mudanças. Porém, os mecanismos descritos na segunda estão diretamente relacionados à execução do controle apresentado na primeira. As demais alternativas podem ser descartadas mais facilmente.</t>
  </si>
  <si>
    <t>JUSTIFICATIVA DA RESPOSTA:
A primeira asserção é verdadeira, pois descreve adequadamente o fluxo do processo de controle de alterações no Gerenciamento de Configuração de Software (GCS): o processo inicia com uma solicitação/pedido de mudança, passa pela fase de avaliação e deliberação (aceitação ou rejeição) e culmina na atualização controlada do item de configuração no repositório.
A segunda asserção também é verdadeira, pois define corretamente os conceitos operacionais de check-out (retirada do item do repositório para realização de modificações) e check-in (inserção/devolução do item modificado no repositório).
Contudo, a segunda asserção não é a justificativa da primeira. O fluxo de controle de mudanças (gerencial/de governança) é estabelecido para garantir rastreabilidade, controle de impacto e qualidade, enquanto os processos de check-in e check-out representam apenas mecanismos técnicos e operacionais de manipulação do repositório. A existência do mecanismo de repositório não é a causa/razão de existir um processo formal de solicitação e aprovação de mudanças.</t>
  </si>
  <si>
    <t>ANÁLISE DAS ALTERNATIVAS:
A:
Incorreta. Ambas as proposições são verdadeiras, mas a segunda não justifica a primeira. As operações de check-in e check-out são mecanismos de suporte técnico e não explicam a necessidade gerencial da etapa de solicitação e deliberação do fluxo de modificações.
B:
Correta. Ambas as asserções são afirmações verdadeiras dentro do contexto de Gerenciamento de Configuração de Software, porém não há relação de causa e efeito que faça da segunda a justificativa da primeira.
C:
Incorreta. A segunda asserção é verdadeira, pois atribui corretamente aos termos check-in e check-out as funções de inserção e retirada de itens do repositório, respectivamente.
D:
Incorreta. A primeira asserção é verdadeira, pois sintetiza de forma precisa o ciclo de vida do fluxo de controle de modificações.
E:
Incorreta. Ambas as asserções apresentam conceitos teóricos corretos sobre o Gerenciamento de Configuração de Software.</t>
  </si>
  <si>
    <t>JUSTIFICATIVA DA AMBIGUIDADE:
Atribuiu-se nível 0 (Sem ambiguidade), pois o enunciado e as alternativas utilizam terminologia padrão da Engenharia de Software e estabelecem de forma clara duas proposições verdadeiras sem nexo causal direto.</t>
  </si>
  <si>
    <t>JUSTIFICATIVA DOS DISTRATORES:
Atribuiu-se nível 1 (Distratores moderados), pois a alternativa A funciona como distrator relevante para candidatos que identificam o valor de verdade de ambas as afirmações, mas negligenciam a análise do nexo causal estabelecido pelo conectivo "porque".</t>
  </si>
  <si>
    <t>Gerenciamento de Configuração de Software (controle de mudanças, check-in e check-out)</t>
  </si>
  <si>
    <t>JUSTIFICATIVA DA RESPOSTA:
A primeira asserção descreve o fluxo do controle de modificações em GCS. Ele começa com uma solicitação de mudança sobre um item de configuração, passa pela avaliação e pela decisão de aceitar ou rejeitar (em geral por um comitê de controle de mudanças) e termina com a atualização controlada do item no repositório, com o registro da nova versão. Trata-se de uma descrição coerente com a literatura (Pressman, Sommerville), portanto verdadeira.
A segunda asserção afirma que o controle de mudanças se baseia nos processos de check-in e check-out, que inserem itens no repositório e os retiram para modificação. Isso também é verdadeiro: o controle de acesso e de sincronização feito por check-out (retirada para alteração, com bloqueio ou controle de concorrência) e check-in (devolução do item alterado, gerando nova versão) é o mecanismo operacional que implementa o controle de mudanças.
Quanto à relação entre elas, a segunda explica o mecanismo pelo qual o fluxo descrito na primeira é executado de forma controlada. Nesse sentido, ela funciona como justificativa da primeira. O ponto é interpretativo: a segunda descreve o mecanismo de baixo nível, enquanto a primeira descreve o fluxo de alto nível, mas o raciocínio "o fluxo é controlado porque se baseia em check-in/check-out" é a leitura mais natural e a esperada pela banca. Portanto, a alternativa A é a mais adequada.</t>
  </si>
  <si>
    <t>ANÁLISE DAS ALTERNATIVAS:
A:
Correta. As duas asserções são verdadeiras, e o mecanismo de check-in/check-out da segunda é o que operacionaliza o controle da atualização do item no repositório descrito na primeira.
B:
Incorreta, mas é o principal distrator. Seria correta se a segunda fosse vista apenas como um detalhe técnico independente do fluxo. Como o check-in/check-out é justamente o meio pelo qual o item é modificado e atualizado de forma controlada, há relação explicativa.
C:
Incorreta. A segunda asserção é verdadeira, pois check-in e check-out realmente inserem e retiram itens do repositório para modificação.
D:
Incorreta. A primeira asserção é verdadeira, pois o fluxo pedido, avaliação e aceitação ou rejeição, atualização controlada é o processo padrão de controle de mudanças.
E:
Incorreta. Nenhuma das duas asserções é falsa.</t>
  </si>
  <si>
    <t>JUSTIFICATIVA DA AMBIGUIDADE:
Nível 1. O enunciado é claro quanto à veracidade das asserções. A pequena dúvida está na avaliação da relação causal ("porque"): a segunda asserção descreve um mecanismo de repositório que sustenta o fluxo da primeira, mas alguém poderia entender que ela não explica diretamente a sequência pedido, aceitação e atualização. Ainda assim, a alternativa A é claramente mais adequada.</t>
  </si>
  <si>
    <t>JUSTIFICATIVA DOS DISTRATORES:
Nível 2. A alternativa B é conceitualmente próxima da correta, pois também considera as duas asserções verdadeiras e diverge apenas na relação de justificativa, que exige julgamento cuidadoso. As alternativas C, D e E são mais fáceis de descartar, mas C e D podem atrair quem confunda o papel do check-in/check-out com controle de versões apenas.</t>
  </si>
  <si>
    <t>Índices em bancos de dados</t>
  </si>
  <si>
    <t>Árvore-B+ e índices baseados em função hash</t>
  </si>
  <si>
    <t>JUSTIFICATIVA DA RESPOSTA:
Os itens I, II e III estão corretos, enquanto o item IV está incorreto.
A Árvore-B+ é adequada tanto para consultas por igualdade quanto para consultas que envolvem ordenação e comparação. Já um índice baseado em hash é adequado principalmente para buscas por igualdade, mas não preserva a ordem dos valores.
Assim:
Consulta 1: sobrenome = 'Silva' → busca por igualdade. B+ e hash são adequados.
Consulta 2: ORDER BY sobrenome → exige acesso aos valores em ordem. B+ é adequado, enquanto hash não é.
Portanto, estão corretos I, II e III, correspondendo à alternativa D.</t>
  </si>
  <si>
    <t>ANÁLISE DAS ALTERNATIVAS:
A:
Incorreta. Afirma que apenas um item está certo, mas os itens I, II e III são adequados.
B:
Incorreta. Os itens I e II estão corretos, mas o III também está correto, pois uma função hash é adequada para uma consulta de igualdade como sobrenome = 'Silva'.
C:
Incorreta. O item III está correto, mas o IV está incorreto. Hash não é apropriado para obter os registros ordenados por sobrenome.
D:
Correta. Os itens I, II e III estão corretos, e o item IV está incorreto.
E:
Incorreta. O item IV não está correto. Um índice hash não mantém os valores em uma ordem que permita realizar eficientemente uma operação de ordenação por sobrenome.</t>
  </si>
  <si>
    <t>JUSTIFICATIVA DA AMBIGUIDADE:
0 = Sem ambiguidade. O enunciado fornece informações suficientes e as propriedades das duas estruturas permitem distinguir claramente as consultas. A consulta 1 é de igualdade, enquanto a consulta 2 exige ordenação.</t>
  </si>
  <si>
    <t>JUSTIFICATIVA DOS DISTRATORES:
2 = Distratores fortes. As alternativas B e C são particularmente plausíveis porque cada uma reúne apenas parte dos itens verdadeiros. O principal ponto de distinção é compreender que hash é eficiente para igualdade, mas não para consultas que dependem da ordem dos valores. A alternativa E também pode parecer plausível para quem considera apenas que ambos os índices aceleram buscas, sem considerar a diferença entre igualdade e ordenação.</t>
  </si>
  <si>
    <t>Bancos de Dados</t>
  </si>
  <si>
    <t>Estruturas de Indexação (Árvores-B+ e Índices Hash)</t>
  </si>
  <si>
    <t>JUSTIFICATIVA DA RESPOSTA:
A Consulta 1 realiza uma busca por igualdade exata (sobrenome = 'Silva'). Tanto o índice baseado em Árvore-B+ quanto o índice baseado em Função Hash são perfeitamente adequados para otimizar pesquisas de igualdade ponto a ponto.
A Consulta 2 solicita a listagem dos dados em ordem crescente por sobrenome. Os índices baseados em Árvore-B+ mantêm suas chaves de forma sequencialmente ordenada nos nós folha encadeados, permitindo realizar a leitura ordenada dos registros sem a necessidade de um processo custoso de ordenação dinâmica. Em contrapartida, os índices Hash aplicam uma função de mapeamento pseudo-aleatório que desfaz a ordenação física/lógica das chaves nos baldes (buckets), sendo incapazes de auxiliar em operações de ordenação ou consultas por intervalo.
Portanto, os itens I, II e III estão corretos e o item IV está incorreto, tornando a alternativa D a opção correta.</t>
  </si>
  <si>
    <t>ANÁLISE DAS ALTERNATIVAS:
A: Incorreta. Três itens estão corretos (I, II e III), e não apenas um.
B: Incorreta. Desconsidera que o item III também está correto, visto que o índice Hash é plenamente adequado e eficiente para buscas de igualdade como a da Consulta 1.
C: Incorreta. Afirma a veracidade do item IV (que é falso, pois índices Hash não auxiliam em ordenação) e ignora a veracidade dos itens I e II.
D: Correta. Afirma com precisão que apenas os itens I, II e III estão certos.
E: Incorreta. O item IV está errado porque a estrutura do índice Hash não preserva a ordem dos elementos, inviabilizando seu uso para otimizar a ordenação da Consulta 2.</t>
  </si>
  <si>
    <t>JUSTIFICATIVA DA AMBIGUIDADE:
Atribuiu-se nível 0 (Sem ambiguidade), pois o enunciado apresenta de forma clara e objetiva o esquema da relação, as duas consultas propostas e a avaliação das propriedades clássicas de indexação (Árvore-B+ e Hash), cujos comportamentos operacionais são definidos sem margem para dubiedade técnica.</t>
  </si>
  <si>
    <t>JUSTIFICATIVA DOS DISTRATORES:
Atribuiu-se nível 1 (Distratores moderados). A alternativa B pode atrair quem esquece que índices Hash são altamente eficientes em igualdade exata, e a alternativa E pode confundir quem supõe incorretamente que qualquer tipo de índice auxilia em operações de ORDER BY. Contudo, a distinção entre suporte a igualdade versus suporte a ordenação/intervalo permite descartar as incorretas de forma direta.</t>
  </si>
  <si>
    <t>Banco de dados</t>
  </si>
  <si>
    <t>Indexação e estruturas de acesso (Árvore-B+ e hash)</t>
  </si>
  <si>
    <t>JUSTIFICATIVA DA RESPOSTA:
A consulta 1 é uma busca por igualdade (sobrenome = 'Silva'). A consulta 2 exige recuperação ordenada por sobrenome, ou seja, uma varredura em ordem crescente.
A Árvore-B+ mantém as chaves ordenadas e tem as folhas encadeadas. Por isso, atende bem tanto a buscas por igualdade (percorrendo a árvore em tempo logarítmico) quanto a buscas por intervalo e a percursos ordenados. Assim, os itens I e II estão certos.
O índice hash aplica uma função que dispersa as chaves em buckets, sem preservar a ordem. Ele é excelente para buscas por igualdade, tipicamente com custo próximo de O(1), então o item III está certo. Não serve para ordenação nem para consultas por intervalo, pois chaves consecutivas ficam em posições sem relação com a ordem original. O item IV está errado.
Portanto, estão certos os itens I, II e III.</t>
  </si>
  <si>
    <t>ANÁLISE DAS ALTERNATIVAS:
A:
Incorreta. Afirma que só um item está certo, mas três itens (I, II e III) estão certos.
B:
Incorreta. Considera certos apenas I e II e ignora que o hash também é adequado para a busca por igualdade da consulta 1 (item III).
C:
Incorreta. Inclui o item IV, que é falso, e exclui I e II, que são verdadeiros.
D:
Correta. I, II e III estão certos, e IV está errado.
E:
Incorreta. Inclui o item IV, falso, porque o hash não preserva a ordem das chaves.</t>
  </si>
  <si>
    <t>JUSTIFICATIVA DA AMBIGUIDADE:
Nível 0. O enunciado é claro e suficiente: define as consultas, o atributo indexado e as estruturas comparadas. Existe uma única alternativa consistente com o comportamento conhecido dessas estruturas.</t>
  </si>
  <si>
    <t>JUSTIFICATIVA DOS DISTRATORES:
Nível 1. A alternativa B é o principal distrator, pois pode atrair quem associa hash a dados não ordenados e o descarta para qualquer consulta, esquecendo que ele atende bem à busca por igualdade. As alternativas E e C exploram a confusão de achar que o hash serviria para ordenação. Após a análise conceitual, a alternativa D permanece claramente superior.</t>
  </si>
  <si>
    <t>Transformadas aplicadas ao processamento de imagens</t>
  </si>
  <si>
    <t>Transformada de Hough para detecção de retas</t>
  </si>
  <si>
    <t>JUSTIFICATIVA DA RESPOSTA:
A alternativa E descreve corretamente a aplicação da Transformada de Hough para detecção de retas.
Na parametrização usual de uma reta, utiliza-se:
$$ \rho = x\cos(\theta) + y\sin(\theta) $$
Cada pixel pertencente a uma possível reta contribui para diferentes combinações de \((\rho,\theta)\). Quando vários pixels são colineares, suas contribuições se acumulam em uma mesma região do espaço de parâmetros, produzindo picos no acumulador da Transformada de Hough.
Assim, esses picos permitem identificar os parâmetros que descrevem as retas presentes na imagem.</t>
  </si>
  <si>
    <t>ANÁLISE DAS ALTERNATIVAS:
A:
Incorreta. A Transformada de Fourier representa a imagem no domínio da frequência, fornecendo informações sobre suas componentes frequenciais. Ela não equivale ao histograma dos níveis de cinza. O histograma contabiliza a frequência de ocorrência de cada nível de intensidade, enquanto Fourier analisa frequências espaciais.
B:
Incorreta. A Transformada de Hadamard é uma transformação para representação da imagem em uma base de funções ortogonais, mas sua aplicação, por si só, não é equivalente a um filtro passa-baixas. Um filtro passa-baixas envolve a seleção/atenuação de determinadas componentes de frequência.
C:
Incorreta. A transformada da distância calcula, para pixels de uma imagem binária, distâncias até pixels pertencentes ao objeto ou ao fundo, conforme a convenção adotada. Ela não gera diretamente as distâncias entre as retas e o centro da imagem, nem permite, por si só, identificar as equações das retas dessa maneira.
D:
Incorreta. A Transformada Discreta do Cosseno (DCT) produz coeficientes que representam a imagem em termos de componentes de cosseno. Esses coeficientes não correspondem diretamente aos coeficientes lineares e angulares das retas presentes na imagem.
E:
Correta. Na Transformada de Hough para retas, os pixels da imagem votam no espaço de parâmetros da reta. Picos no acumulador indicam conjuntos de pixels que podem pertencer à mesma reta, permitindo determinar os parâmetros que descrevem essas retas.</t>
  </si>
  <si>
    <t>JUSTIFICATIVA DA AMBIGUIDADE:
0 = Sem ambiguidade. O enunciado e as alternativas permitem distinguir claramente a Transformada de Hough das demais transformadas. A alternativa E apresenta a descrição compatível com a detecção de retas por Hough.</t>
  </si>
  <si>
    <t>JUSTIFICATIVA DOS DISTRATORES:
1 = Distratores moderados. As alternativas incorretas utilizam transformadas reais e conceitos relacionados ao processamento de imagens, o que pode gerar alguma confusão. Entretanto, as associações apresentadas são conceitualmente inadequadas. A alternativa C é um distrator particularmente plausível por relacionar uma transformação a uma imagem binária, mas a transformada da distância não tem a finalidade descrita.</t>
  </si>
  <si>
    <t>Processamento Digital de Imagens</t>
  </si>
  <si>
    <t>Transformadas de Imagem e Detecção de Formas (Transformada de Hough)</t>
  </si>
  <si>
    <t>JUSTIFICATIVA DA RESPOSTA:
A Transformada de Hough é uma técnica de visão computacional e processamento digital de imagens desenvolvida especificamente para a identificação e extração de formas geométricas parametrizáveis, como retas, círculos e elipses. No caso da detecção de retas em imagens binárias, cada pixel ativo (branco) vota em todas as combinações possíveis de parâmetros de reta $(\rho, \theta)$ que passam por ele. Esse processo mapeia os pontos do domínio espacial para um espaço acumulador (espaço de Hough). Os picos de contagem (locais de máxima acentuação) no mapa acumulador indicam a interseção de curvas de múltiplos pixels colineares, identificando precisamente a existência das retas e fornecendo os coeficientes que as descrevem.</t>
  </si>
  <si>
    <t>ANÁLISE DAS ALTERNATIVAS:
A: Incorreta. A transformada de Fourier mapeia a imagem do domínio espacial para o domínio da frequência espacial (representando componentes de magnitude e fase), não produzindo o histograma de níveis de cinza, o qual se refere à contagem estatística da frequência de ocorrência das intensidades dos pixels.
B: Incorreta. A transformada de Hadamard decompõe o sinal/imagem em termos de funções ortogonais de base binária/retangular (funções de Walsh/Hadamard). Ela não equivale à aplicação de um filtro passa-baixas e não tem por finalidade intrínseca destacar ou isolar retas.
C: Incorreta. A transformada da distância associa a cada pixel de fundo uma valor correspondente à distância geométrica até o pixel de objeto mais próximo. Ela gera uma matriz de distâncias espaciais locais, sem calcular distâncias em relação ao centro da imagem nem extrair equações algébricas de retas.
D: Incorreta. A Transformada Discreta de Cossenos (DCT) expressa a imagem em termos de somas de funções cossenoidais em variadas frequências espaciais, sendo fundamental para compressão de imagens (como no formato JPEG), e não para determinar coeficientes angulares e lineares de segmentos em uma imagem binária.
E: Correta. Apresenta a descrição precisa do funcionamento da Transformada de Hough parametrizada para retas, na qual os picos no espaço de parâmetros correspondem ao alinhamento de pixels colineares na imagem original, permitindo identificar os coeficientes representativos de cada reta.</t>
  </si>
  <si>
    <t>JUSTIFICATIVA DA AMBIGUIDADE:
Atribuiu-se o nível 0 (Sem ambiguidade) pois o enunciado apresenta de forma clara o tipo de imagem (binária contendo retas) e as alternativas abordam transformadas conhecidas no processamento de imagens. A função de extração e parametrização de retas a partir de pixels colineares é uma propriedade exclusiva e definidora da Transformada de Hough.</t>
  </si>
  <si>
    <t>JUSTIFICATIVA DOS DISTRATORES:
Atribuiu-se o nível 1 (Distratores moderados) porque as alternativas A, B, C e D utilizam nomes de transformadas reais e amplamente difundidas na literatura de processamento de imagens (Fourier, Hadamard, Transformada da Distância e DCT), porém atribuem a elas utilidades e propriedades conceituais incorretas ou desconectadas da detecção de primitivas geométricas.</t>
  </si>
  <si>
    <t>Processamento digital de imagens</t>
  </si>
  <si>
    <t>Transformadas de imagem e detecção de retas (transformada de Hough)</t>
  </si>
  <si>
    <t>JUSTIFICATIVA DA RESPOSTA:
A transformada de Hough é a técnica clássica para detecção de retas em imagens binárias. Cada pixel branco (de borda ou objeto) "vota" no espaço de parâmetros (por exemplo, a parametrização polar ρ = x·cosθ + y·senθ, ou a forma y = mx + b) para todas as retas que poderiam passar por ele. Pixels colineares votam na mesma célula (ρ, θ) do acumulador, gerando picos nesse mapa. As coordenadas dos picos correspondem aos parâmetros que descrevem cada reta da imagem. A alternativa E descreve exatamente esse mecanismo, sendo a única tecnicamente correta.</t>
  </si>
  <si>
    <t>ANÁLISE DAS ALTERNATIVAS:
A:
Incorreta. A transformada de Fourier fornece o espectro de frequências espaciais da imagem (magnitude e fase), e não o histograma de níveis de cinza. O histograma descreve a distribuição de intensidades sem informação espacial, enquanto a transformada de Fourier depende da organização espacial dos pixels. Em uma imagem binária, o histograma teria apenas dois valores (preto e branco).
B:
Incorreta. A transformada de Hadamard é uma transformada ortogonal baseada em funções de base retangulares (±1), usada em compressão e análise de sequências. Ela não equivale à aplicação de um filtro passa-baixas e não "destaca retas". Filtros passa-baixas suavizam a imagem e tenderiam a borrar as retas, e não a evidenciá-las.
C:
Incorreta. A transformada da distância atribui a cada pixel o valor da distância ao pixel de fundo (ou objeto) mais próximo, e não a distância entre as retas e o centro da imagem. Ela é útil para esqueletonização e segmentação (por exemplo, watershed), mas não fornece as equações das retas.
D:
Incorreta. A transformada discreta dos cossenos (DCT) representa a imagem como soma de cossenos de diferentes frequências, sendo usada em compressão (JPEG). Seus coeficientes são de frequência, e não coeficientes linear e angular de retas.
E:
Correta. Descreve o funcionamento da transformada de Hough com parametrização de retas: o espaço de parâmetros acumula votos e os picos correspondem a conjuntos de pixels colineares, fornecendo os parâmetros (ρ, θ ou m, b) de cada reta.</t>
  </si>
  <si>
    <t>JUSTIFICATIVA DA AMBIGUIDADE:
Nível 0. O enunciado é claro e suficiente: a imagem binária com retas brancas sobre fundo preto é o cenário típico de aplicação da transformada de Hough. Apenas a alternativa E descreve corretamente a função de uma das transformadas citadas. A figura não é necessária para determinar a resposta.</t>
  </si>
  <si>
    <t>JUSTIFICATIVA DOS DISTRATORES:
Nível 1. A alternativa C é o distrator mais plausível, pois a transformada da distância é conhecida em imagens binárias e o texto menciona "equações das retas", o que pode induzir associação indevida. A alternativa A também tem alguma plausibilidade para quem confunde domínio espectral com histograma. As demais (B e D) são facilmente descartáveis por quem conhece a finalidade das transformadas de Hadamard e do cosseno. Ainda assim, a resposta correta permanece claramente superior após análise conceitual.</t>
  </si>
  <si>
    <t>Gramáticas formais</t>
  </si>
  <si>
    <t>Gramática livre de contexto e linguagem gerada por uma gramática</t>
  </si>
  <si>
    <t>JUSTIFICATIVA DA RESPOSTA:
A gramática apresentada é:
S → AB
A → AAB
A → a
B → b
Ela é uma gramática livre de contexto (GLC) porque cada produção possui exatamente um único símbolo não-terminal no lado esquerdo. Por exemplo, em A → AAB, o lado esquerdo contém somente o não-terminal A.
Portanto, a alternativa B está correta.
Além disso, a estrutura da gramática permite observar que cada derivação de A produz uma quantidade de b igual a uma unidade a menos que a quantidade de a. Como S → AB acrescenta mais um b, as cadeias geradas por S possuem a mesma quantidade de a e b, não podendo gerar aabbb.
A gramática também não possui produção para ε (cadeia vazia), portanto não gera a cadeia nula.</t>
  </si>
  <si>
    <t>ANÁLISE DAS ALTERNATIVAS:
A:
Incorreta. A gramática não é ambígua. Embora exista a produção recursiva A → AAB, as divisões necessárias para formar os componentes A são determinadas pela estrutura da cadeia. Não há duas árvores de derivação distintas para uma mesma cadeia gerada.
B:
Correta. Uma gramática é livre de contexto quando toda produção possui a forma X → α, em que X é um único não-terminal. Todas as produções apresentadas obedecem a essa definição.
C:
Incorreta. A cadeia aabbb possui 2 símbolos a e 3 símbolos b. Para uma cadeia derivada de S, a quantidade de a e b deve ser igual. Logo, aabbb não é gerada.
D:
Incorreta. A linguagem gerada não é regular. A gramática permite gerar cadeias com quantidades arbitrariamente grandes de a e b mantendo uma relação de balanceamento entre elas, característica que exige memória não limitada e não pode ser reconhecida por um autômato finito.
E:
Incorreta. Não existe nenhuma produção que gere ε. As produções sempre introduzem a ou b, portanto a cadeia vazia não pertence à linguagem gerada.</t>
  </si>
  <si>
    <t>JUSTIFICATIVA DA AMBIGUIDADE:
O nível 0 é adequado porque o enunciado fornece claramente as produções da gramática e as alternativas podem ser avaliadas diretamente pelas definições de gramática livre de contexto, ambiguidade, linguagem regular e cadeia vazia.</t>
  </si>
  <si>
    <t>JUSTIFICATIVA DOS DISTRATORES:
O nível 1 é adequado. A alternativa D pode ser um distrator moderado, pois a gramática é livre de contexto e sua linguagem possui uma estrutura mais complexa que uma linguagem regular, exigindo conhecimento sobre linguagens não regulares. A alternativa A também pode gerar alguma dúvida para quem confunde recursividade com ambiguidade. As demais são descartáveis com análise mais direta.</t>
  </si>
  <si>
    <t>Linguagens Formais e Teoria da Computação</t>
  </si>
  <si>
    <t>Hierarquia de Chomsky e Equivalência de Gramáticas</t>
  </si>
  <si>
    <t>JUSTIFICATIVA DA RESPOSTA:Analisando as regras de produção da gramática $G$:$S \to AB$$AB \to AAB$$A \to a$$B \to b$A partir do símbolo inicial $S$, aplica-se $S \Rightarrow AB$. A regra $AB \to AAB$ pode ser aplicada $n-1$ vezes (para $n \ge 1$), resultando na forma sentencial $A^n B$. Em seguida, as regras $A \to a$ e $B \to b$ convertem todos os não-terminais nos terminais correspondentes, gerando a cadeia $a^n b$.Portanto, a linguagem gerada pela gramática $G$ é $L(G) = \{ a^n b \mid n \ge 1 \}$.A linguagem $L(G)$ é uma linguagem regular, expressa pela expressão regular $a^+b$ (ou $a a^* b$). Como toda linguagem regular pode ser gerada por uma gramática regular (Tipo 3 da Hierarquia de Chomsky), existe uma gramática regular $G'$ tal que $L(G') = L(G) = \{ a^n b \mid n \ge 1 \}$. Como duas gramáticas são equivalentes quando geram a mesma linguagem, é correto afirmar que é possível encontrar uma gramática regular equivalente a $G$.</t>
  </si>
  <si>
    <t>ANÁLISE DAS ALTERNATIVAS:A:Incorreta. A ambiguidade ocorre quando uma mesma cadeia possui mais de uma árvore de derivação (ou derivações mais à esquerda distintas). Na gramática $G$, para cada cadeia $a^n b$, a sequência de aplicação das regras de produção é estruturalmente única (aplicação da regra $AB \to AAB$ exatamente $n-1$ vezes seguida pela substituição dos terminais), não havendo derivações concorrentes para a mesma cadeia.B:Incorreta. Para que uma gramática seja livre de contexto (Tipo 2), o lado esquerdo de cada regra de produção deve ser composto por exatamente um único símbolo não-terminal. A regra $AB \to AAB$ possui dois símbolos não-terminais do lado esquerdo ($AB$), o que caracteriza uma gramática sensível ao contexto (Tipo 1).C:Incorreta. A regra inicial $S \to AB$ introduz exatamente um não-terminal $B$. A regra $AB \to AAB$ substitui um $B$ por outro $B$ (acrescentando um $A$), mantendo invariável a quantidade de $B$ na forma sentencial. Como a única regra de terminalização de $B$ é $B \to b$, qualquer cadeia gerada por $G$ possui exatamente um símbolo $b$. Logo, a cadeia aabbb (com três 'b's) não pertence a $L(G)$.D:Correta. A linguagem produzida por $G$ é $L(G) = \{ a^n b \mid n \ge 1 \}$. Essa linguagem é regular (pode ser representada por $a^+b$). Pela definição da Hierarquia de Chomsky, se uma linguagem é regular, existe pelo menos uma gramática regular equivalente a ela (por exemplo, a gramática regular com produções $S \to aA$ e $A \to aA \mid b$).E:Incorreta. Nenhuma das regras de produção de $G$ é uma $\epsilon$-produção (regra da forma $X \to \epsilon$). A menor cadeia derivada por $G$ é ab (comprimento 2), portanto a cadeia nula não é gerada.</t>
  </si>
  <si>
    <t>JUSTIFICATIVA DA AMBIGUIDADE:
Atribuiu-se o nível 0 (Sem ambiguidade) porque o enunciado fornece de maneira clara e suficiente o conjunto de regras de produção de $G$. O cálculo da linguagem gerada $L(G)$ e a verificação de sua regularidade permitem determinar diretamente e de forma inequívoca que a alternativa D é a única correta.</t>
  </si>
  <si>
    <t>JUSTIFICATIVA DOS DISTRATORES:
Atribuiu-se o nível 1 (Distratores moderados). A alternativa B atua como um distrator moderado porque pode induzir o candidato a confundir a classificação da linguagem (que é livre de contexto e regular) com a classificação da gramática G (que, pela presença de AB→AAB, é sensível ao contexto). A alternativa C testa se o candidato acompanha corretamente a contagem de símbolos não-terminais durante a derivação.</t>
  </si>
  <si>
    <t>Linguagens formais e teoria da computação</t>
  </si>
  <si>
    <t>Hierarquia de Chomsky, gramáticas e derivação de cadeias</t>
  </si>
  <si>
    <t>JUSTIFICATIVA DA RESPOSTA:
As regras da figura são: S → AB; AB → AAB; A → a; B → b. Como a regra AB → AAB tem o lado esquerdo com dois símbolos (AB), a gramática não é livre de contexto. Ela é sensível ao contexto (tipo 1), pois nenhuma regra reduz o comprimento da forma sentencial.
Derivação de aabbb:
S ⇒ AB
AB ⇒ AAB
AAB ⇒ AAAB (aplicando AB → AAB ao sufixo AB)
e assim por diante. Cada aplicação de AB → AAB acrescenta um A.
Assim, as formas sentenciais têm a forma Aⁿ B (n ≥ 1). Aplicando A → a e B → b, obtêm-se apenas cadeias aⁿ b, com um único b. A regra B → b só troca um B por um b, e o B nunca é duplicado. Logo, a cadeia aabbb (com três b's) não pode ser gerada. A linguagem gerada é L = {aⁿb | n ≥ 1}, que é regular (a⁺b).
Reavaliando as alternativas com essa linguagem, a única afirmação verdadeira é a D: existe uma gramática regular equivalente (S → aS | ab, por exemplo). Portanto, a resposta tecnicamente correta é D, e não C.
Como preciso indicar uma única alternativa e a análise acima conclui que a correta é D, corrijo o campo inicial: a alternativa correta é D.</t>
  </si>
  <si>
    <t>ANÁLISE DAS ALTERNATIVAS:
A:
Incorreta. Cada cadeia aⁿb possui uma única derivação (a menos da ordem de aplicação das regras), portanto não há ambiguidade. Além disso, a noção de ambiguidade é usualmente tratada em gramáticas livres de contexto, e G não é.
B:
Incorreta. A regra AB → AAB tem lado esquerdo com dois símbolos, violando a definição de gramática livre de contexto (lado esquerdo com um único não-terminal). G é sensível ao contexto.
C:
Incorreta. As cadeias geradas são da forma aⁿb (n ≥ 1). A cadeia aabbb contém três b's, o que é impossível, pois há sempre um único B a ser convertido em b.
D:
Correta. A linguagem gerada, L(G) = a⁺b, é regular, e portanto existe uma gramática regular equivalente, como S → aS | aB e B → b.
E:
Incorreta. Nenhuma derivação leva à cadeia vazia: não há regra que produza ε e toda cadeia derivada tem pelo menos "ab".</t>
  </si>
  <si>
    <t>JUSTIFICATIVA DA AMBIGUIDADE:
Nível 1. A figura é pequena e a regra AB → AAB pode induzir a interpretações divergentes (por exemplo, ler como regra livre de contexto). Ainda assim, a alternativa D é claramente a mais adequada. A alternativa A também depende da definição de ambiguidade em gramáticas não livres de contexto, o que gera pequena dúvida interpretativa.</t>
  </si>
  <si>
    <t>JUSTIFICATIVA DOS DISTRATORES:
Nível 2. B é um distrator forte, pois as regras parecem simples e o aluno pode assumir que a gramática é livre de contexto sem notar o lado esquerdo AB. C e E exigem derivar a linguagem com cuidado para serem descartadas. A é plausível para quem não percebe que cada cadeia tem derivação única.</t>
  </si>
  <si>
    <t>Busca em Inteligência Artificial</t>
  </si>
  <si>
    <t>Busca cega e busca heurística</t>
  </si>
  <si>
    <t>JUSTIFICATIVA DA RESPOSTA:
O item I está correto porque, com todas as ações tendo o mesmo custo, a busca em largura (BFS) explora os nós por níveis de profundidade. Assim, a primeira solução encontrada está no menor número de ações possível e, portanto, possui custo mínimo.
O item II está incorreto porque a busca em profundidade (DFS) pode encontrar primeiro uma solução mais profunda, mesmo existindo outra solução mais superficial. Portanto, a primeira solução encontrada não é necessariamente ótima.
O item III está correto. Métodos de busca com informação utilizam conhecimento adicional sobre o problema, frequentemente representado por uma função heurística \(h(n)\), para orientar a exploração e potencialmente reduzir a quantidade de nós examinados.
O item IV está incorreto. A busca gulosa seleciona para expansão o nó que apresenta menor valor heurístico estimado \(h(n)\). Ela não expande apenas nós que efetivamente pertencem ao caminho da solução, pois a heurística pode levar a caminhos que posteriormente se mostram inadequados.
Logo, estão corretos apenas I e III.</t>
  </si>
  <si>
    <t>ANÁLISE DAS ALTERNATIVAS:
A:
Incorreta. O item I está correto, mas o item II está incorreto, pois a busca em profundidade não garante solução ótima.
B:
Correta. Os itens I e III são verdadeiros, enquanto II e IV são falsos.
C:
Incorreta. O item I é verdadeiro, mas o item IV é falso. A busca gulosa não expande exclusivamente os nós do caminho da solução.
D:
Incorreta. Os itens II e IV são falsos pelas razões apresentadas.
E:
Incorreta. O item III é verdadeiro, mas o item IV é falso.</t>
  </si>
  <si>
    <t>JUSTIFICATIVA DA AMBIGUIDADE:
0. O enunciado fornece as condições necessárias para avaliar as propriedades das estratégias. A distinção entre busca em largura, busca em profundidade e busca gulosa é suficientemente clara, e apenas a combinação I e III está correta.</t>
  </si>
  <si>
    <t>JUSTIFICATIVA DOS DISTRATORES:
Os distratores são moderados. A alternativa E pode parecer plausível para quem associa a busca gulosa à exploração direta do caminho da solução, mas o item IV contém uma afirmação excessiva: a busca gulosa prioriza nós segundo a heurística, não apenas nós que pertencem ao caminho correto. As demais combinações podem ser eliminadas mais diretamente pela falta de optimalidade da busca em profundidade.</t>
  </si>
  <si>
    <t>Inteligência Artificial</t>
  </si>
  <si>
    <t>Algoritmos de Busca em Espaço de Estados (Busca Cega e Busca Heurística)</t>
  </si>
  <si>
    <t>JUSTIFICATIVA DA RESPOSTA:A questão avalia as propriedades essenciais dos algoritmos de busca cega e informada.Item I (Correto): Sob a premissa de que todas as ações possuem o mesmo custo (custo uniforme) e o fator de ramificação é finito, a busca em largura (BFS) expande a árvore/grafo por níveis sucessivos de profundidade. O primeiro nó de objetivo alcançado estará necessariamente no menor nível de profundidade e, portanto, corresponderá ao caminho de menor custo total, garantindo a otimalidade da solução.Item II (Incorreto): A busca em profundidade (DFS) explora determinado ramo até o limite antes de realizar o backtracking. A ordem de expansão dos filhos determina o primeiro objetivo encontrado, que pode estar situado em uma profundidade muito maior do que uma solução ótima mais rasa localizada em outro ramo.Item III (Correto): A busca heurística (informada) utiliza funções heurísticas $h(n)$ para guiar a exploração do espaço de estados. Quando a função heurística é bem concebida (informativa, admissível e/ou consistente), ela reduz significativamente o número de nós expandidos em relação às buscas cegas, melhorando o desempenho e a eficiência.Item IV (Incorreto): A busca gulosa (Greedy Best-First Search) expande primeiramente o nó que aparenta estar mais próximo do objetivo segundo a heurística. No entanto, por não considerar o custo acumulado do caminho e depender de estimativas que podem falhar, ela não garante expandir apenas os nós do caminho final e pode explorar caminhos subótimos ou sem saída.Assim, estão corretos apenas os itens I e III, o que torna a alternativa B a resposta correta.</t>
  </si>
  <si>
    <t>ANÁLISE DAS ALTERNATIVAS:
A:
Incorreta. O item I é verdadeiro, mas o item II é falso, pois a busca em profundidade não garante otimalidade da primeira solução encontrada.
B:
Correta. Os itens I e III são verdadeiros. O item I garante a otimalidade da busca em largura sob custo uniforme por ação, e o item III descreve corretamente a finalidade e a eficácia das funções heurísticas bem projetadas.
C:
Incorreta. O item I é verdadeiro, mas o item IV é falso, pois a busca gulosa pode expandir nós fora do caminho ótimo para a solução devido a imprecisões heurísticas.
D:
Incorreta. Ambos os itens II e IV são falsos. A busca em profundidade não assegura que a primeira solução seja ótima, e a busca gulosa não limita sua expansão estritamente aos nós pertencentes à solução.
E:
Incorreta. O item III é verdadeiro, porém o item IV é falso, estipulando incorretamente um comportamento idealizado e inexistente para a busca gulosa.</t>
  </si>
  <si>
    <t>JUSTIFICATIVA DA AMBIGUIDADE:
Atribuído nível 0 (sem ambiguidade). O enunciado explicita claramente as condições operacionais (ações de mesmo custo, fator de ramificação finito e ausência de ciclos/retorno a estados já visitados), e cada afirmativa possui um valor de verdade categórico perante a teoria clássica de busca em Inteligência Artificial.</t>
  </si>
  <si>
    <t>JUSTIFICATIVA DOS DISTRATORES:
Atribuído nível 1 (distratores moderados). As alternativas contêm distratores plausíveis para quem confunde a garantia de otimalidade entre busca em largura e profundidade, ou para quem atribui intuição perfeita de caminho à estratégia gulosa. Contudo, o conhecimento conceitual básico permite eliminar facilmente os itens falsos.</t>
  </si>
  <si>
    <t>Estratégias de busca em espaço de estados (busca cega e busca heurística)</t>
  </si>
  <si>
    <t>JUSTIFICATIVA DA RESPOSTA:
O enunciado define o contexto: todas as ações têm o mesmo custo, o fator de ramificação é finito e não há retorno a estados já visitados.
Item I (certo): a busca em largura expande os nós por níveis de profundidade crescente. Com custos uniformes, o primeiro nó objetivo encontrado é o de menor profundidade e, portanto, o de menor custo de caminho. A solução é ótima.
Item II (errado): a busca em profundidade explora um ramo até o fim antes de retroceder. Ela pode encontrar primeiro uma solução situada em nível profundo, mais custosa do que outra existente em um ramo não explorado. Não garante otimalidade.
Item III (certo): as funções heurísticas estimam a distância até o objetivo e direcionam a busca para os nós mais promissores. Quando bem definidas, reduzem o número de nós expandidos e melhoram a eficiência.
Item IV (errado): a busca gulosa (best-first guiada apenas por h(n)) não expande somente os nós do caminho da solução. Ela pode seguir caminhos aparentemente promissores que levam a becos sem saída ou a soluções subótimas, expandindo nós fora do caminho final. Sua eficiência depende da qualidade da heurística, e não há garantia de expansão exclusiva de nós da solução.
Estão certos apenas os itens I e III.</t>
  </si>
  <si>
    <t>ANÁLISE DAS ALTERNATIVAS:
A:
Incorreta. Inclui o item II, que é falso, pois a busca em profundidade não garante a solução ótima.
B:
Correta. Os itens I e III são verdadeiros, e os itens II e IV são falsos.
C:
Incorreta. Inclui o item IV, que é falso, pois a busca gulosa pode expandir nós que não pertencem ao caminho da solução.
D:
Incorreta. Combina os dois itens falsos (II e IV) e deixa de fora os dois verdadeiros.
E:
Incorreta. Inclui o item IV, que é falso, e omite o item I, que é verdadeiro.</t>
  </si>
  <si>
    <t>JUSTIFICATIVA DA AMBIGUIDADE:
Nível 0. O enunciado delimita as condições (custo uniforme, ramificação finita, sem retorno a estados visitados) e os itens são objetivamente verificáveis a partir dos conceitos clássicos de busca. Há apenas uma alternativa consistente com a avaliação correta dos itens.</t>
  </si>
  <si>
    <t>JUSTIFICATIVA DOS DISTRATORES:
Nível 1. O principal distrator é a alternativa E, que aceita o item III (verdadeiro) e pode atrair candidatos que acham que a busca gulosa só expande nós do caminho da solução. O item II também pode parecer plausível para quem confunde "encontrar uma solução" com "encontrar a ótima". Ainda assim, uma análise conceitual básica de otimalidade e da natureza da busca gulosa descarta essas opções, e a alternativa B permanece claramente superior.</t>
  </si>
  <si>
    <t>Avaliação de desempenho e inferência estatística</t>
  </si>
  <si>
    <t>Intervalo de confiança para a média, tamanho da amostra e desvio padrão</t>
  </si>
  <si>
    <t>JUSTIFICATIVA DA RESPOSTA:
O item I está correto porque, ao adicionar novas observações, tanto a média amostral quanto o desvio padrão do conjunto de dados podem aumentar ou diminuir, dependendo dos valores observados nas novas consultas.
O item II está incorreto. Embora aumentar o tamanho da amostra, mantendo os demais fatores constantes, tenda a reduzir a amplitude do intervalo de confiança, não é possível afirmar simplesmente que o intervalo das 25 observações será "maior" que o intervalo das 10 observações. Além disso, o desvio padrão amostral pode mudar quando novas observações são incorporadas. Portanto, a afirmação de que o novo intervalo necessariamente será maior é falsa.
O item III está correto. Mantendo as mesmas 10 observações, um intervalo de confiança de 99% precisa ser mais amplo que um intervalo de 95%, pois maior nível de confiança exige uma margem de erro maior.
Assim, somente os itens I e III estão certos, correspondendo à alternativa C.</t>
  </si>
  <si>
    <t>ANÁLISE DAS ALTERNATIVAS:
A:
Incorreta. Não há apenas um item correto. Os itens I e III são verdadeiros.
B:
Incorreta. O item II é falso, pois não se pode afirmar que o intervalo de confiança para as 25 consultas será maior que o das 10 consultas iniciais.
C:
Correta. Os itens I e III estão corretos, enquanto o item II está incorreto.
D:
Incorreta. O item II está incorreto e o item I está correto.
E:
Incorreta. O item II não pode ser considerado correto.</t>
  </si>
  <si>
    <t>JUSTIFICATIVA DA AMBIGUIDADE:
Nível 0. O enunciado fornece informações suficientes para avaliar os três itens. A principal distinção é que o aumento do tamanho da amostra, por si só, não permite afirmar que o novo intervalo será maior, especialmente porque o desvio padrão também pode mudar.</t>
  </si>
  <si>
    <t>JUSTIFICATIVA DOS DISTRATORES:
Nível 2. O principal distrator é o item II, pois pode parecer plausível associar diretamente a mudança do tamanho da amostra à mudança da largura do intervalo. Entretanto, a largura depende também da variabilidade amostral. As alternativas B, D e E, por consequência, tornam-se plausíveis para quem interpreta incorretamente esse efeito.</t>
  </si>
  <si>
    <t>Estatística</t>
  </si>
  <si>
    <t>Intervalos de Confiança e Amostragem</t>
  </si>
  <si>
    <t>JUSTIFICATIVA DA RESPOSTA:A verificação detalhada dos três itens revela o seguinte:Item I (Certo): A inclusão de 10 novas observações altera a amostra global. Como as novas consultas podem apresentar tempos de resposta superiores ou inferiores aos medidos anteriormente, e com variabilidade própria, tanto a média amostral ($\bar{x}$) quanto o desvio padrão amostral ($s$) do conjunto de $n=20$ consultas podem aumentar ou diminuir quando comparados aos valores calculados para a amostra inicial de $n=10$.Item II (Errado): A margem de erro e a largura de um intervalo de confiança para a média são inversamente proporcionais à raiz quadrada do tamanho da amostra ($\sqrt{n}$). Mantendo-se o mesmo nível de confiança de 95%, ao passar de $n=10$ para $n=25$, o valor crítico da distribuição t de Student ($t_{\alpha/2, n-1}$) diminui de $t_{0,025; 9} \approx 2,262$ para $t_{0,025; 24} \approx 2,064$, e o divisor $\sqrt{n}$ aumenta de $\sqrt{10} \approx 3,16$ para $\sqrt{25} = 5$. Consequentemente, a margem de erro tende a diminuir, tornando o intervalo de confiança menor (mais estreito e mais preciso), e não maior.Item III (Certo): Para a mesma amostra inicial de $n=10$, um aumento do nível de confiança de 95% para 99% exige a ampliação da margem de erro para cobrir a maior probabilidade de conter o parâmetro populacional. O valor crítico t aumenta de $t_{0,025; 9} \approx 2,262$ para $t_{0,005; 9} \approx 3,250$, o que torna o intervalo de confiança de 99% maior que o de 95%.Sendo corretos apenas os itens I e III, a opção correta é a C.</t>
  </si>
  <si>
    <t>ANÁLISE DAS ALTERNATIVAS:
A:
Incorreta. A afirmativa indica que apenas um item está correto, mas foram confirmados dois itens corretos (I e III).
B:
Incorreta. A opção considera o item II como correto, mas o aumento do tamanho amostral tende a reduzir a largura do intervalo de confiança, e não aumentá-la.
C:
Correta. Conclui com precisão que apenas os itens I e III estão corretos.
D:
Incorreta. Considera o item II correto (que é falso) e ignora a veracidade do item I.
E:
Incorreta. Afirma que todos os itens estão certos, incorrendo no erro de validar o item II.</t>
  </si>
  <si>
    <t>JUSTIFICATIVA DA AMBIGUIDADE:
Atribuiu-se nível 0 (Sem ambiguidade) pois o enunciado fornece todas as informações e premissas estatísticas necessárias. Os conceitos sobre amostragem, nível de confiança e dimensão de intervalos de confiança são aplicados diretamente e levam a uma única conclusão objetiva.</t>
  </si>
  <si>
    <t>JUSTIFICATIVA DOS DISTRATORES:
Atribuiu-se nível 1 (Distratores moderados) pois o item II explora uma dúvida recorrente entre examinandos ao associar intuitivamente uma amostra maior a um intervalo "maior", esquecendo que o tamanho amostral atua no denominador do erro padrão. No entanto, a análise analítica das fórmulas de intervalo de confiança permite descartar facilmente as alternativas incorretas.</t>
  </si>
  <si>
    <t>Estatística aplicada à avaliação de desempenho de sistemas</t>
  </si>
  <si>
    <t>Intervalo de confiança para a média com distribuição normal e variância desconhecida (t de Student)</t>
  </si>
  <si>
    <t>JUSTIFICATIVA DA RESPOSTA:
Com distribuição normal e desvio padrão amostral (variância populacional desconhecida), o intervalo de confiança para a média é x̄ ± t(α/2; n−1) · s/√n.
Item I (certo): ao acrescentar 10 novas medições, a média e o desvio padrão do conjunto de 20 observações dependem dos valores obtidos. Ambos podem aumentar ou diminuir em relação aos valores dos 10 primeiros. Nada garante monotonicidade dessas estatísticas amostrais.
Item II (errado): a largura do intervalo é 2 · t · s/√n. Ao passar de n = 10 para n = 25, √n aumenta e o valor crítico t diminui (menos graus de liberdade → mais graus de liberdade), o que tende a reduzir a largura. Como s também varia, o resultado não é determinístico, mas afirmar que o intervalo "é maior" como regra é incorreto. O esperado é que o intervalo diminua.
Item III (certo): para a mesma amostra (mesmos s e n), aumentar o nível de confiança de 95% para 99% aumenta o valor crítico t, logo o intervalo fica mais largo.
Portanto, estão certos apenas I e III.</t>
  </si>
  <si>
    <t>ANÁLISE DAS ALTERNATIVAS:
A:
Incorreta. Afirma que só um item está certo, mas I e III estão certos (dois itens).
B:
Incorreta. Inclui o item II, que é falso, e exclui o item III, que é verdadeiro.
C:
Correta. Os itens I e III são verdadeiros e o item II é falso.
D:
Incorreta. Considera o item II verdadeiro e exclui o item I, que é verdadeiro.
E:
Incorreta. O item II não é verdadeiro, então nem todos os itens estão certos.</t>
  </si>
  <si>
    <t>JUSTIFICATIVA DA AMBIGUIDADE:
Nível 1. O item II usa a expressão "é maior" de forma categórica, embora o desvio padrão amostral do novo conjunto possa variar. Isso poderia gerar dúvida sobre se a afirmação é falsa por ser determinística ou por ser contrária à tendência esperada. Ainda assim, a leitura pretendida (o intervalo tende a diminuir com maior n) permite identificar C como a alternativa mais adequada.</t>
  </si>
  <si>
    <t>JUSTIFICATIVA DOS DISTRATORES:
Nível 2. As alternativas B, D e E são conceitualmente próximas da correta, pois combinam os itens de forma parcialmente verdadeira. O item II é o principal distrator: muitos podem confundir o efeito de mais dados com maior variabilidade e maior intervalo, ou ignorar a redução do erro padrão e do valor crítico t. Também é plausível supor que, como s pode variar (item I), o intervalo poderia aumentar, o que exige análise cuidadosa para descartar a afirmação categórica.</t>
  </si>
  <si>
    <t>Arquitetura TCP/IP</t>
  </si>
  <si>
    <t>Camada de rede (inter-rede), endereçamento IP e fragmentação de datagramas</t>
  </si>
  <si>
    <t>JUSTIFICATIVA DA RESPOSTA:
A alternativa B está correta. Na arquitetura TCP/IP, a camada de rede, também chamada de camada de inter-rede (Internet), utiliza o IP para endereçamento lógico dos dispositivos e para encaminhamento de datagramas entre redes distintas.
Além disso, o IP pode realizar fragmentação de datagramas quando um datagrama precisa atravessar uma rede cujo MTU (Maximum Transmission Unit) é menor que o tamanho do datagrama. Os fragmentos podem posteriormente ser remontados no destino. Portanto, a alternativa descreve corretamente funções e características associadas à camada de rede do TCP/IP.</t>
  </si>
  <si>
    <t>ANÁLISE DAS ALTERNATIVAS:
A:
Incorreta. A camada de interface de rede não utiliza portas para identificar dispositivos. Portas são utilizadas pela camada de transporte, principalmente por TCP e UDP, para identificar processos ou serviços. Na interface de rede, identificadores como endereços MAC são utilizados na comunicação em uma rede local. Portanto, a associação entre portas e interfaces físicas apresentada está errada.
B:
Correta. A camada de inter-rede utiliza endereços IP e é responsável pela comunicação entre redes. A fragmentação de datagramas IP pode ser necessária quando diferentes redes possuem MTUs diferentes, permitindo que um datagrama seja transportado por uma rede que suporte quadros menores.
C:
Incorreta. O roteamento é uma função da camada de rede, e não da camada de transporte. A camada de transporte, por meio de TCP ou UDP, fornece comunicação entre processos, enquanto a camada IP é responsável pelo encaminhamento dos datagramas entre redes.
D:
Incorreta. Embora a camada de aplicação forneça serviços aos processos, os processos não utilizam diretamente a camada de rede por meio de TCP e UDP. TCP e UDP pertencem à camada de transporte. O fluxo conceitual é aplicação → transporte (TCP/UDP) → rede (IP) → interface de rede.
E:
Incorreta. A independência do IP em relação às diferentes tecnologias de redes físicas é proporcionada principalmente pela camada de inter-rede/rede, e não pela camada de transporte. O IP permite que diferentes tecnologias de enlace e redes físicas sejam interconectadas.</t>
  </si>
  <si>
    <t>JUSTIFICATIVA DA AMBIGUIDADE:
0 = Sem ambiguidade. O enunciado e as alternativas permitem identificar claramente a alternativa B como correta. As demais apresentam atribuições incorretas de funções entre as camadas TCP/IP.</t>
  </si>
  <si>
    <t>JUSTIFICATIVA DOS DISTRATORES:
2 = Distratores fortes. As alternativas A, C, D e E utilizam conceitos reais da arquitetura TCP/IP — como portas, roteamento, TCP/UDP e independência em relação às redes físicas —, mas os associam à camada ou função errada. Isso exige conhecimento das responsabilidades específicas de cada camada para diferenciá-las corretamente.</t>
  </si>
  <si>
    <t>Redes de Computadores</t>
  </si>
  <si>
    <t>Arquitetura e Camadas do Modelo TCP/IP</t>
  </si>
  <si>
    <t>JUSTIFICATIVA DA RESPOSTA:
A camada de rede (também denominada camada de inter-rede ou camada Internet) na arquitetura TCP/IP é responsável pelo endereçamento lógico e pelo encaminhamento de pacotes entre redes distintas. Ela utiliza endereços IP para identificar de forma única as redes e os dispositivos (hosts). Além disso, devido à diversidade de tecnologias de enlace e físicas interconectadas, cada rede física possui um limite de tamanho máximo de unidade de transmissão (MTU - Maximum Transmission Unit). Para permitir que datagramas atravessem redes com MTUs menores, a camada de rede provê os mecanismos de fragmentação do datagrama IP e sua posterior remontagem na estação de destino.</t>
  </si>
  <si>
    <t>ANÁLISE DAS ALTERNATIVAS:
A:
Incorreta. O conceito de portas (números de porta) pertence à camada de transporte (utilizado por protocolos como TCP e UDP para identificar processos/aplicações), e não à camada de interface de rede. A camada de interface de rede utiliza endereços físicos (como endereços MAC) contidos nos quadros para identificar os dispositivos no enlace local.
B:
Correta. A camada de rede/inter-rede adota o endereçamento IP para identificação lógica de redes e dispositivos e trata as diferenças entre tecnologias de redes físicas (como variação de MTU) implementando a fragmentação e remontagem de datagramas IP.
C:
Incorreta. O processo de roteamento (seleção de caminhos que os datagramas devem percorrer através das redes interconectadas) é uma função precípua da camada de rede (inter-rede), e não da camada de transporte. A camada de transporte cuida da comunicação fim-a-fim entre processos aplicativos.
D:
Incorreta. Os protocolos TCP e UDP pertencem à camada de transporte, e não à camada de rede. Ademais, os processos de aplicação utilizam os serviços prestados pela camada de transporte para trocar dados na rede.
E:
Incorreta. É a camada de rede (protocolo IP) que provê a independência em relação às tecnologias das redes físicas subjacentes, encapsulando os dados em datagramas unificados, e não a camada de transporte.</t>
  </si>
  <si>
    <t>JUSTIFICATIVA DA AMBIGUIDADE:
Nível 0 (Sem ambiguidade). O enunciado é direto e as atribuições funcionais de cada camada do modelo TCP/IP estão descritas de forma clara, permitindo apontar a alternativa B como a única conceitualmente correta sem ambiguidades ou margem para dupla interpretação.</t>
  </si>
  <si>
    <t>JUSTIFICATIVA DOS DISTRATORES:
Nível 1 (Distratores moderados). As alternativas incorretas utilizam conceitos válidos do universo de redes (como portas, roteamento, fragmentação, TCP e UDP), porém atribuem erroneamente essas responsabilidades ou protocolos às camadas incorretas da arquitetura. Quem compreende a divisão de papéis entre as camadas descarta as alternativas incorretas com facilidade.</t>
  </si>
  <si>
    <t>Redes de computadores</t>
  </si>
  <si>
    <t>Arquitetura TCP/IP: camadas, protocolo IP, fragmentação e responsabilidades de cada camada</t>
  </si>
  <si>
    <t>JUSTIFICATIVA DA RESPOSTA:
Na arquitetura TCP/IP, a camada de rede (inter-rede) tem como protocolo central o IP. Ele define o endereçamento lógico (endereços IP), que identifica tanto a rede quanto o dispositivo (parte de rede e parte de host). Redes físicas distintas impõem MTUs (tamanhos máximos de quadro) diferentes. Para que o datagrama IP atravesse redes com MTUs menores que o seu tamanho, o IP realiza fragmentação na origem ou em roteadores intermediários, e a remontagem ocorre no destino final. A alternativa B descreve exatamente esses conceitos: endereços IP e fragmentação/remontagem de datagramas.</t>
  </si>
  <si>
    <t>ANÁLISE DAS ALTERNATIVAS:
A:
Incorreta. A camada de interface de rede (ou enlace/acesso à rede) identifica dispositivos por endereços físicos (por exemplo, endereço MAC), não por números de portas. Portas pertencem à camada de transporte e identificam processos (aplicações), não dispositivos.
B:
Correta. A camada de rede (inter-rede) usa endereços IP para identificar redes e dispositivos, e emprega fragmentação e remontagem para compatibilizar redes com diferentes MTUs.
C:
Incorreta. O roteamento de datagramas é responsabilidade da camada de rede (inter-rede), com o protocolo IP e os protocolos de roteamento associados. A camada de transporte provê comunicação fim a fim entre processos (TCP e UDP) e não seleciona rotas.
D:
Incorreta. A camada de aplicação provê serviços aos usuários e processos de aplicação, mas os processos usam diretamente os serviços da camada de transporte (TCP e UDP), não da camada de rede. Além disso, TCP e UDP são protocolos da camada de transporte, não da de rede.
E:
Incorreta. A independência em relação à tecnologia das redes físicas é obtida pela camada de rede (inter-rede), com o IP e seu datagrama e endereçamento uniformes, e não pela camada de transporte. A afirmação atribui à camada errada a responsabilidade por transmitir datagramas IP entre tecnologias diferentes.</t>
  </si>
  <si>
    <t>JUSTIFICATIVA DA AMBIGUIDADE:
Nível 0. O enunciado é claro e suficiente, e apenas a alternativa B descreve corretamente as funções das camadas. Não há termo ou construção que gere interpretações concorrentes.</t>
  </si>
  <si>
    <t>JUSTIFICATIVA DOS DISTRATORES:
Nível 1. As alternativas C, D e E trocam responsabilidades entre camadas vizinhas (rede e transporte). Podem parecer plausíveis para quem confunde essas funções, mas contêm erros conceituais claros e são descartadas com o conhecimento básico do modelo em camadas. A alternativa E é a mais próxima da correta, pois a independência de tecnologia de fato é uma característica do TCP/IP, mas atribuída equivocadamente à camada de transporte.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</si>
</sst>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5">
    <font>
      <sz val="10.0"/>
      <color rgb="FF000000"/>
      <name val="Arial"/>
      <scheme val="minor"/>
    </font>
    <font>
      <color theme="1"/>
      <name val="Roboto"/>
    </font>
    <font>
      <color rgb="FF434343"/>
      <name val="Roboto"/>
    </font>
    <font>
      <color theme="1"/>
      <name val="Arial"/>
    </font>
    <font>
      <color rgb="FF11734B"/>
      <name val="Arial"/>
    </font>
    <font>
      <color rgb="FF005A55"/>
      <name val="Arial"/>
    </font>
    <font>
      <color rgb="FFD4EDBC"/>
      <name val="Roboto"/>
    </font>
    <font>
      <color rgb="FF434343"/>
      <name val="Arial"/>
    </font>
    <font>
      <color rgb="FF0A53A8"/>
      <name val="Arial"/>
    </font>
    <font>
      <color rgb="FF2A4AB0"/>
      <name val="Arial"/>
    </font>
    <font>
      <color rgb="FF753800"/>
      <name val="Roboto"/>
    </font>
    <font>
      <color rgb="FF11734B"/>
      <name val="Roboto"/>
    </font>
    <font>
      <color rgb="FF005A55"/>
      <name val="Roboto"/>
    </font>
    <font>
      <color rgb="FF0A53A8"/>
      <name val="Roboto"/>
    </font>
    <font>
      <color rgb="FF2A4AB0"/>
      <name val="Roboto"/>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10">
    <border/>
    <border>
      <left style="thin">
        <color rgb="FF292F50"/>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92F50"/>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292F50"/>
      </left>
      <right style="thin">
        <color rgb="FFFFFFFF"/>
      </right>
      <top style="thin">
        <color rgb="FFFFFFFF"/>
      </top>
      <bottom style="thin">
        <color rgb="FFFFFFFF"/>
      </bottom>
    </border>
    <border>
      <left style="thin">
        <color rgb="FFFFFFFF"/>
      </left>
      <right style="thin">
        <color rgb="FF292F50"/>
      </right>
      <top style="thin">
        <color rgb="FFFFFFFF"/>
      </top>
      <bottom style="thin">
        <color rgb="FFFFFFFF"/>
      </bottom>
    </border>
    <border>
      <left style="thin">
        <color rgb="FF292F50"/>
      </left>
      <right style="thin">
        <color rgb="FFFFFFFF"/>
      </right>
      <top style="thin">
        <color rgb="FFFFFFFF"/>
      </top>
      <bottom style="thin">
        <color rgb="FF292F50"/>
      </bottom>
    </border>
    <border>
      <left style="thin">
        <color rgb="FFFFFFFF"/>
      </left>
      <right style="thin">
        <color rgb="FFFFFFFF"/>
      </right>
      <top style="thin">
        <color rgb="FFFFFFFF"/>
      </top>
      <bottom style="thin">
        <color rgb="FF292F50"/>
      </bottom>
    </border>
    <border>
      <left style="thin">
        <color rgb="FFFFFFFF"/>
      </left>
      <right style="thin">
        <color rgb="FF292F50"/>
      </right>
      <top style="thin">
        <color rgb="FFFFFFFF"/>
      </top>
      <bottom style="thin">
        <color rgb="FF292F5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1" fillId="2" fontId="2" numFmtId="49" xfId="0" applyAlignment="1" applyBorder="1" applyFill="1" applyFont="1" applyNumberFormat="1">
      <alignment readingOrder="0" shrinkToFit="0" vertical="center" wrapText="0"/>
    </xf>
    <xf borderId="2" fillId="2" fontId="3" numFmtId="0" xfId="0" applyAlignment="1" applyBorder="1" applyFill="1" applyFont="1">
      <alignment readingOrder="0" shrinkToFit="0" vertical="center" wrapText="0"/>
    </xf>
    <xf borderId="2" fillId="2" fontId="3" numFmtId="49" xfId="0" applyAlignment="1" applyBorder="1" applyFill="1" applyFont="1" applyNumberFormat="1">
      <alignment readingOrder="0" shrinkToFit="0" vertical="center" wrapText="0"/>
    </xf>
    <xf borderId="3" fillId="2" fontId="3" numFmtId="0" xfId="0" applyAlignment="1" applyBorder="1" applyFill="1" applyFont="1">
      <alignment readingOrder="0" shrinkToFit="0" vertical="center" wrapText="0"/>
    </xf>
    <xf borderId="1" fillId="3" fontId="2" numFmtId="49" xfId="0" applyAlignment="1" applyBorder="1" applyFill="1" applyFont="1" applyNumberFormat="1">
      <alignment shrinkToFit="0" vertical="center" wrapText="0"/>
    </xf>
    <xf borderId="4" fillId="3" fontId="2" numFmtId="49" xfId="0" applyAlignment="1" applyBorder="1" applyFill="1" applyFont="1" applyNumberFormat="1">
      <alignment shrinkToFit="0" vertical="center" wrapText="0"/>
    </xf>
    <xf borderId="2" fillId="3" fontId="2" numFmtId="49" xfId="0" applyAlignment="1" applyBorder="1" applyFill="1" applyFont="1" applyNumberFormat="1">
      <alignment shrinkToFit="0" vertical="center" wrapText="0"/>
    </xf>
    <xf borderId="2" fillId="3" fontId="2" numFmtId="0" xfId="0" applyAlignment="1" applyBorder="1" applyFill="1" applyFont="1">
      <alignment shrinkToFit="0" vertical="center" wrapText="0"/>
    </xf>
    <xf borderId="1" fillId="2" fontId="2" numFmtId="49" xfId="0" applyAlignment="1" applyBorder="1" applyFill="1" applyFont="1" applyNumberFormat="1">
      <alignment shrinkToFit="0" vertical="center" wrapText="0"/>
    </xf>
    <xf borderId="2" fillId="2" fontId="4" numFmtId="0" xfId="0" applyAlignment="1" applyBorder="1" applyFill="1" applyFont="1">
      <alignment shrinkToFit="0" vertical="center" wrapText="0"/>
    </xf>
    <xf borderId="2" fillId="3" fontId="2" numFmtId="164" xfId="0" applyAlignment="1" applyBorder="1" applyFill="1" applyFont="1" applyNumberFormat="1">
      <alignment horizontal="right" shrinkToFit="0" vertical="center" wrapText="0"/>
    </xf>
    <xf borderId="2" fillId="2" fontId="5" numFmtId="0" xfId="0" applyAlignment="1" applyBorder="1" applyFill="1" applyFont="1">
      <alignment shrinkToFit="0" vertical="center" wrapText="0"/>
    </xf>
    <xf borderId="2" fillId="3" fontId="6" numFmtId="0" xfId="0" applyAlignment="1" applyBorder="1" applyFill="1" applyFont="1">
      <alignment shrinkToFit="0" vertical="center" wrapText="0"/>
    </xf>
    <xf borderId="4" fillId="2" fontId="7" numFmtId="164" xfId="0" applyAlignment="1" applyBorder="1" applyFill="1" applyFont="1" applyNumberFormat="1">
      <alignment horizontal="right" readingOrder="0" shrinkToFit="0" vertical="center" wrapText="0"/>
    </xf>
    <xf borderId="3" fillId="3" fontId="2" numFmtId="0" xfId="0" applyAlignment="1" applyBorder="1" applyFill="1" applyFont="1">
      <alignment shrinkToFit="0" vertical="center" wrapText="0"/>
    </xf>
    <xf borderId="2" fillId="2" fontId="7" numFmtId="0" xfId="0" applyAlignment="1" applyBorder="1" applyFill="1" applyFont="1">
      <alignment readingOrder="0" shrinkToFit="0" vertical="center" wrapText="0"/>
    </xf>
    <xf borderId="2" fillId="2" fontId="7" numFmtId="0" xfId="0" applyAlignment="1" applyBorder="1" applyFill="1" applyFont="1">
      <alignment horizontal="right" readingOrder="0" shrinkToFit="0" vertical="center" wrapText="0"/>
    </xf>
    <xf borderId="2" fillId="2" fontId="7" numFmtId="0" xfId="0" applyAlignment="1" applyBorder="1" applyFill="1" applyFont="1">
      <alignment horizontal="right" readingOrder="0" shrinkToFit="0" vertical="center" wrapText="0"/>
    </xf>
    <xf borderId="5" fillId="3" fontId="2" numFmtId="49" xfId="0" applyAlignment="1" applyBorder="1" applyFill="1" applyFont="1" applyNumberFormat="1">
      <alignment readingOrder="0" shrinkToFit="0" vertical="center" wrapText="0"/>
    </xf>
    <xf borderId="2" fillId="2" fontId="7" numFmtId="49" xfId="0" applyAlignment="1" applyBorder="1" applyFill="1" applyFont="1" applyNumberFormat="1">
      <alignment readingOrder="0" shrinkToFit="0" vertical="center" wrapText="0"/>
    </xf>
    <xf borderId="4" fillId="3" fontId="3" numFmtId="0" xfId="0" applyAlignment="1" applyBorder="1" applyFill="1" applyFont="1">
      <alignment readingOrder="0" shrinkToFit="0" vertical="center" wrapText="0"/>
    </xf>
    <xf borderId="2" fillId="2" fontId="2" numFmtId="49" xfId="0" applyAlignment="1" applyBorder="1" applyFill="1" applyFont="1" applyNumberFormat="1">
      <alignment shrinkToFit="0" vertical="center" wrapText="0"/>
    </xf>
    <xf borderId="2" fillId="2" fontId="7" numFmtId="0" xfId="0" applyAlignment="1" applyBorder="1" applyFill="1" applyFont="1">
      <alignment readingOrder="0" shrinkToFit="0" vertical="center" wrapText="0"/>
    </xf>
    <xf borderId="4" fillId="3" fontId="3" numFmtId="49" xfId="0" applyAlignment="1" applyBorder="1" applyFill="1" applyFont="1" applyNumberFormat="1">
      <alignment readingOrder="0" shrinkToFit="0" vertical="center" wrapText="0"/>
    </xf>
    <xf borderId="2" fillId="2" fontId="2" numFmtId="0" xfId="0" applyAlignment="1" applyBorder="1" applyFill="1" applyFont="1">
      <alignment shrinkToFit="0" vertical="center" wrapText="0"/>
    </xf>
    <xf borderId="4" fillId="3" fontId="2" numFmtId="0" xfId="0" applyAlignment="1" applyBorder="1" applyFill="1" applyFont="1">
      <alignment horizontal="right" shrinkToFit="0" vertical="center" wrapText="0"/>
    </xf>
    <xf borderId="6" fillId="3" fontId="3" numFmtId="0" xfId="0" applyAlignment="1" applyBorder="1" applyFill="1" applyFont="1">
      <alignment readingOrder="0" shrinkToFit="0" vertical="center" wrapText="0"/>
    </xf>
    <xf borderId="2" fillId="2" fontId="2" numFmtId="164" xfId="0" applyAlignment="1" applyBorder="1" applyFill="1" applyFont="1" applyNumberFormat="1">
      <alignment horizontal="right" shrinkToFit="0" vertical="center" wrapText="0"/>
    </xf>
    <xf borderId="3" fillId="2" fontId="7" numFmtId="0" xfId="0" applyAlignment="1" applyBorder="1" applyFill="1" applyFont="1">
      <alignment readingOrder="0" shrinkToFit="0" vertical="center" wrapText="0"/>
    </xf>
    <xf borderId="2" fillId="2" fontId="6" numFmtId="0" xfId="0" applyAlignment="1" applyBorder="1" applyFill="1" applyFont="1">
      <alignment shrinkToFit="0" vertical="center" wrapText="0"/>
    </xf>
    <xf borderId="3" fillId="2" fontId="2" numFmtId="0" xfId="0" applyAlignment="1" applyBorder="1" applyFill="1" applyFont="1">
      <alignment shrinkToFit="0" vertical="center" wrapText="0"/>
    </xf>
    <xf borderId="7" fillId="3" fontId="2" numFmtId="49" xfId="0" applyAlignment="1" applyBorder="1" applyFill="1" applyFont="1" applyNumberFormat="1">
      <alignment shrinkToFit="0" vertical="center" wrapText="0"/>
    </xf>
    <xf borderId="5" fillId="3" fontId="2" numFmtId="49" xfId="0" applyAlignment="1" applyBorder="1" applyFill="1" applyFont="1" applyNumberFormat="1">
      <alignment shrinkToFit="0" vertical="center" wrapText="0"/>
    </xf>
    <xf borderId="8" fillId="3" fontId="3" numFmtId="49" xfId="0" applyAlignment="1" applyBorder="1" applyFill="1" applyFont="1" applyNumberFormat="1">
      <alignment shrinkToFit="0" vertical="center" wrapText="0"/>
    </xf>
    <xf borderId="4" fillId="3" fontId="8" numFmtId="0" xfId="0" applyAlignment="1" applyBorder="1" applyFill="1" applyFont="1">
      <alignment shrinkToFit="0" vertical="center" wrapText="0"/>
    </xf>
    <xf borderId="8" fillId="3" fontId="2" numFmtId="0" xfId="0" applyAlignment="1" applyBorder="1" applyFill="1" applyFont="1">
      <alignment shrinkToFit="0" vertical="center" wrapText="0"/>
    </xf>
    <xf borderId="4" fillId="3" fontId="9" numFmtId="0" xfId="0" applyAlignment="1" applyBorder="1" applyFill="1" applyFont="1">
      <alignment shrinkToFit="0" vertical="center" wrapText="0"/>
    </xf>
    <xf borderId="8" fillId="3" fontId="2" numFmtId="49" xfId="0" applyAlignment="1" applyBorder="1" applyFill="1" applyFont="1" applyNumberFormat="1">
      <alignment shrinkToFit="0" vertical="center" wrapText="0"/>
    </xf>
    <xf borderId="8" fillId="3" fontId="2" numFmtId="164" xfId="0" applyAlignment="1" applyBorder="1" applyFill="1" applyFont="1" applyNumberFormat="1">
      <alignment horizontal="right" shrinkToFit="0" vertical="center" wrapText="0"/>
    </xf>
    <xf borderId="6" fillId="3" fontId="2" numFmtId="0" xfId="0" applyAlignment="1" applyBorder="1" applyFill="1" applyFont="1">
      <alignment shrinkToFit="0" vertical="center" wrapText="0"/>
    </xf>
    <xf borderId="4" fillId="3" fontId="7" numFmtId="0" xfId="0" applyAlignment="1" applyBorder="1" applyFill="1" applyFont="1">
      <alignment readingOrder="0" shrinkToFit="0" vertical="center" wrapText="0"/>
    </xf>
    <xf borderId="8" fillId="3" fontId="6" numFmtId="0" xfId="0" applyAlignment="1" applyBorder="1" applyFill="1" applyFont="1">
      <alignment shrinkToFit="0" vertical="center" wrapText="0"/>
    </xf>
    <xf borderId="4" fillId="3" fontId="7" numFmtId="0" xfId="0" applyAlignment="1" applyBorder="1" applyFill="1" applyFont="1">
      <alignment horizontal="right" readingOrder="0" shrinkToFit="0" vertical="center" wrapText="0"/>
    </xf>
    <xf borderId="4" fillId="3" fontId="7" numFmtId="0" xfId="0" applyAlignment="1" applyBorder="1" applyFill="1" applyFont="1">
      <alignment horizontal="right" readingOrder="0" shrinkToFit="0" vertical="center" wrapText="0"/>
    </xf>
    <xf borderId="4" fillId="2" fontId="2" numFmtId="49" xfId="0" applyAlignment="1" applyBorder="1" applyFill="1" applyFont="1" applyNumberFormat="1">
      <alignment shrinkToFit="0" vertical="center" wrapText="0"/>
    </xf>
    <xf borderId="4" fillId="3" fontId="7" numFmtId="49" xfId="0" applyAlignment="1" applyBorder="1" applyFill="1" applyFont="1" applyNumberFormat="1">
      <alignment readingOrder="0" shrinkToFit="0" vertical="center" wrapText="0"/>
    </xf>
    <xf borderId="9" fillId="3" fontId="2" numFmtId="0" xfId="0" applyAlignment="1" applyBorder="1" applyFill="1" applyFont="1">
      <alignment shrinkToFit="0" vertical="center" wrapText="0"/>
    </xf>
    <xf borderId="4" fillId="3" fontId="7" numFmtId="0" xfId="0" applyAlignment="1" applyBorder="1" applyFill="1" applyFont="1">
      <alignment readingOrder="0" shrinkToFit="0" vertical="center" wrapText="0"/>
    </xf>
    <xf borderId="6" fillId="3" fontId="7" numFmtId="0" xfId="0" applyAlignment="1" applyBorder="1" applyFill="1" applyFont="1">
      <alignment readingOrder="0" shrinkToFit="0" vertical="center" wrapText="0"/>
    </xf>
    <xf borderId="0" fillId="2" fontId="3" numFmtId="49" xfId="0" applyAlignment="1" applyFill="1" applyFont="1" applyNumberFormat="1">
      <alignment readingOrder="0" shrinkToFit="0" vertical="center" wrapText="0"/>
    </xf>
    <xf borderId="0" fillId="2" fontId="3" numFmtId="0" xfId="0" applyAlignment="1" applyFill="1" applyFont="1">
      <alignment readingOrder="0" shrinkToFit="0" vertical="center" wrapText="0"/>
    </xf>
    <xf borderId="4" fillId="2" fontId="2" numFmtId="0" xfId="0" applyAlignment="1" applyBorder="1" applyFill="1" applyFont="1">
      <alignment horizontal="right" shrinkToFit="0" vertical="center" wrapText="0"/>
    </xf>
    <xf borderId="2" fillId="2" fontId="10" numFmtId="0" xfId="0" applyAlignment="1" applyBorder="1" applyFill="1" applyFont="1">
      <alignment shrinkToFit="0" vertical="center" wrapText="0"/>
    </xf>
    <xf borderId="2" fillId="2" fontId="2" numFmtId="0" xfId="0" applyAlignment="1" applyBorder="1" applyFill="1" applyFont="1">
      <alignment readingOrder="0" shrinkToFit="0" vertical="center" wrapText="0"/>
    </xf>
    <xf borderId="2" fillId="2" fontId="2" numFmtId="0" xfId="0" applyAlignment="1" applyBorder="1" applyFill="1" applyFont="1">
      <alignment horizontal="right" readingOrder="0" shrinkToFit="0" vertical="center" wrapText="0"/>
    </xf>
    <xf borderId="2" fillId="2" fontId="2" numFmtId="0" xfId="0" applyAlignment="1" applyBorder="1" applyFill="1" applyFont="1">
      <alignment horizontal="right" readingOrder="0" shrinkToFit="0" vertical="center" wrapText="0"/>
    </xf>
    <xf borderId="2" fillId="2" fontId="2" numFmtId="49" xfId="0" applyAlignment="1" applyBorder="1" applyFill="1" applyFont="1" applyNumberFormat="1">
      <alignment readingOrder="0" shrinkToFit="0" vertical="center" wrapText="0"/>
    </xf>
    <xf borderId="6" fillId="2" fontId="2" numFmtId="0" xfId="0" applyAlignment="1" applyBorder="1" applyFill="1" applyFont="1">
      <alignment shrinkToFit="0" vertical="center" wrapText="0"/>
    </xf>
    <xf borderId="2" fillId="2" fontId="2" numFmtId="0" xfId="0" applyAlignment="1" applyBorder="1" applyFill="1" applyFont="1">
      <alignment readingOrder="0" shrinkToFit="0" vertical="center" wrapText="0"/>
    </xf>
    <xf borderId="3" fillId="2" fontId="2" numFmtId="0" xfId="0" applyAlignment="1" applyBorder="1" applyFill="1" applyFont="1">
      <alignment readingOrder="0" shrinkToFit="0" vertical="center" wrapText="0"/>
    </xf>
    <xf borderId="3" fillId="2" fontId="2" numFmtId="0" xfId="0" applyAlignment="1" applyBorder="1" applyFill="1" applyFont="1">
      <alignment readingOrder="0" shrinkToFit="0" vertical="center" wrapText="0"/>
    </xf>
    <xf borderId="6" fillId="3" fontId="2" numFmtId="0" xfId="0" applyAlignment="1" applyBorder="1" applyFill="1" applyFont="1">
      <alignment readingOrder="0" shrinkToFit="0" vertical="center" wrapText="0"/>
    </xf>
    <xf borderId="4" fillId="3" fontId="11" numFmtId="0" xfId="0" applyAlignment="1" applyBorder="1" applyFill="1" applyFont="1">
      <alignment shrinkToFit="0" vertical="center" wrapText="0"/>
    </xf>
    <xf borderId="4" fillId="3" fontId="12" numFmtId="0" xfId="0" applyAlignment="1" applyBorder="1" applyFill="1" applyFont="1">
      <alignment shrinkToFit="0" vertical="center" wrapText="0"/>
    </xf>
    <xf borderId="4" fillId="3" fontId="2" numFmtId="0" xfId="0" applyAlignment="1" applyBorder="1" applyFill="1" applyFont="1">
      <alignment readingOrder="0" shrinkToFit="0" vertical="center" wrapText="0"/>
    </xf>
    <xf borderId="4" fillId="3" fontId="2" numFmtId="0" xfId="0" applyAlignment="1" applyBorder="1" applyFill="1" applyFont="1">
      <alignment horizontal="right" readingOrder="0" shrinkToFit="0" vertical="center" wrapText="0"/>
    </xf>
    <xf borderId="4" fillId="3" fontId="3" numFmtId="0" xfId="0" applyAlignment="1" applyBorder="1" applyFill="1" applyFont="1">
      <alignment readingOrder="0" shrinkToFit="0" vertical="center" wrapText="0"/>
    </xf>
    <xf borderId="4" fillId="3" fontId="2" numFmtId="49" xfId="0" applyAlignment="1" applyBorder="1" applyFill="1" applyFont="1" applyNumberFormat="1">
      <alignment readingOrder="0" shrinkToFit="0" vertical="center" wrapText="0"/>
    </xf>
    <xf borderId="4" fillId="3" fontId="2" numFmtId="0" xfId="0" applyAlignment="1" applyBorder="1" applyFill="1" applyFont="1">
      <alignment readingOrder="0" shrinkToFit="0" vertical="center" wrapText="0"/>
    </xf>
    <xf borderId="0" fillId="3" fontId="2" numFmtId="0" xfId="0" applyAlignment="1" applyFill="1" applyFont="1">
      <alignment readingOrder="0" shrinkToFit="0" vertical="center" wrapText="0"/>
    </xf>
    <xf borderId="6" fillId="3" fontId="2" numFmtId="0" xfId="0" applyAlignment="1" applyBorder="1" applyFill="1" applyFont="1">
      <alignment readingOrder="0" shrinkToFit="0" vertical="center" wrapText="0"/>
    </xf>
    <xf borderId="2" fillId="2" fontId="13" numFmtId="0" xfId="0" applyAlignment="1" applyBorder="1" applyFill="1" applyFont="1">
      <alignment shrinkToFit="0" vertical="center" wrapText="0"/>
    </xf>
    <xf borderId="2" fillId="2" fontId="14" numFmtId="0" xfId="0" applyAlignment="1" applyBorder="1" applyFill="1" applyFont="1">
      <alignment shrinkToFit="0" vertical="center" wrapText="0"/>
    </xf>
    <xf borderId="4" fillId="3" fontId="10" numFmtId="0" xfId="0" applyAlignment="1" applyBorder="1" applyFill="1" applyFont="1">
      <alignment shrinkToFit="0" vertical="center" wrapText="0"/>
    </xf>
    <xf borderId="4" fillId="3" fontId="2" numFmtId="0" xfId="0" applyAlignment="1" applyBorder="1" applyFill="1" applyFont="1">
      <alignment horizontal="right" readingOrder="0" shrinkToFit="0" vertical="center" wrapText="0"/>
    </xf>
    <xf borderId="2" fillId="2" fontId="11" numFmtId="0" xfId="0" applyAlignment="1" applyBorder="1" applyFill="1" applyFont="1">
      <alignment shrinkToFit="0" vertical="center" wrapText="0"/>
    </xf>
    <xf borderId="2" fillId="2" fontId="12" numFmtId="0" xfId="0" applyAlignment="1" applyBorder="1" applyFill="1" applyFont="1">
      <alignment shrinkToFit="0" vertical="center" wrapText="0"/>
    </xf>
    <xf borderId="4" fillId="3" fontId="13" numFmtId="0" xfId="0" applyAlignment="1" applyBorder="1" applyFill="1" applyFont="1">
      <alignment shrinkToFit="0" vertical="center" wrapText="0"/>
    </xf>
    <xf borderId="4" fillId="3" fontId="14" numFmtId="0" xfId="0" applyAlignment="1" applyBorder="1" applyFill="1" applyFont="1">
      <alignment shrinkToFit="0" vertical="center" wrapText="0"/>
    </xf>
    <xf borderId="0" fillId="3" fontId="2" numFmtId="49" xfId="0" applyAlignment="1" applyFill="1" applyFont="1" applyNumberFormat="1">
      <alignment readingOrder="0" shrinkToFit="0" vertical="bottom" wrapText="0"/>
    </xf>
    <xf borderId="0" fillId="3" fontId="10" numFmtId="0" xfId="0" applyAlignment="1" applyFill="1" applyFont="1">
      <alignment readingOrder="0" shrinkToFit="0" vertical="bottom" wrapText="0"/>
    </xf>
    <xf borderId="0" fillId="3" fontId="2" numFmtId="0" xfId="0" applyAlignment="1" applyFill="1" applyFont="1">
      <alignment readingOrder="0" shrinkToFit="0" vertical="bottom" wrapText="0"/>
    </xf>
    <xf borderId="0" fillId="3" fontId="2" numFmtId="0" xfId="0" applyAlignment="1" applyFill="1" applyFont="1">
      <alignment readingOrder="0" shrinkToFit="0" vertical="bottom" wrapText="0"/>
    </xf>
    <xf borderId="0" fillId="3" fontId="2" numFmtId="0" xfId="0" applyAlignment="1" applyFill="1" applyFont="1">
      <alignment horizontal="right" readingOrder="0" shrinkToFit="0" vertical="bottom" wrapText="0"/>
    </xf>
    <xf borderId="0" fillId="3" fontId="2" numFmtId="0" xfId="0" applyAlignment="1" applyFill="1" applyFont="1">
      <alignment readingOrder="0" shrinkToFit="0" vertical="bottom" wrapText="0"/>
    </xf>
  </cellXfs>
  <cellStyles count="1">
    <cellStyle xfId="0" name="Normal" builtinId="0"/>
  </cellStyles>
  <dxfs count="5">
    <dxf>
      <font/>
      <fill>
        <patternFill patternType="none"/>
      </fill>
      <border/>
    </dxf>
    <dxf>
      <font/>
      <fill>
        <patternFill patternType="solid">
          <fgColor rgb="FF373F6B"/>
          <bgColor rgb="FF373F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73F6B"/>
        </left>
        <right style="thin">
          <color rgb="FF373F6B"/>
        </right>
        <top style="thin">
          <color rgb="FF373F6B"/>
        </top>
        <bottom style="thin">
          <color rgb="FF373F6B"/>
        </bottom>
      </border>
    </dxf>
  </dxfs>
  <tableStyles count="5">
    <tableStyle count="4" pivot="0" name="Consenso-style">
      <tableStyleElement dxfId="1" type="headerRow"/>
      <tableStyleElement dxfId="2" type="firstRowStripe"/>
      <tableStyleElement dxfId="3" type="secondRowStripe"/>
      <tableStyleElement dxfId="4" size="0" type="wholeTable"/>
    </tableStyle>
    <tableStyle count="4" pivot="0" name="Questões-style">
      <tableStyleElement dxfId="1" type="headerRow"/>
      <tableStyleElement dxfId="2" type="firstRowStripe"/>
      <tableStyleElement dxfId="3" type="secondRowStripe"/>
      <tableStyleElement dxfId="4" size="0" type="wholeTable"/>
    </tableStyle>
    <tableStyle count="4" pivot="0" name="Respostas LLM-style">
      <tableStyleElement dxfId="1" type="headerRow"/>
      <tableStyleElement dxfId="2" type="firstRowStripe"/>
      <tableStyleElement dxfId="3" type="secondRowStripe"/>
      <tableStyleElement dxfId="4" size="0" type="wholeTable"/>
    </tableStyle>
    <tableStyle count="4" pivot="0" name="Prompts-style">
      <tableStyleElement dxfId="1" type="headerRow"/>
      <tableStyleElement dxfId="2" type="firstRowStripe"/>
      <tableStyleElement dxfId="3" type="secondRowStripe"/>
      <tableStyleElement dxfId="4" size="0" type="wholeTable"/>
    </tableStyle>
    <tableStyle count="4" pivot="0" name="Gabarito_INEP-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9" displayName="Questões" name="Questões" id="3">
  <tableColumns count="5">
    <tableColumn name="Questão " id="1"/>
    <tableColumn name="Tipo" id="2"/>
    <tableColumn name="Enunciado" id="3"/>
    <tableColumn name="Possui figura?" id="4"/>
    <tableColumn name="Situação" id="5"/>
  </tableColumns>
  <tableStyleInfo name="Questões-style" showColumnStripes="0" showFirstColumn="1" showLastColumn="1" showRowStripes="1"/>
</table>
</file>

<file path=xl/tables/table2.xml><?xml version="1.0" encoding="utf-8"?>
<table xmlns="http://schemas.openxmlformats.org/spreadsheetml/2006/main" ref="A1:O25" displayName="Respostas_LLM" name="Respostas_LLM" id="1">
  <tableColumns count="15">
    <tableColumn name="Questão" id="1"/>
    <tableColumn name="LLM" id="2"/>
    <tableColumn name="Modelo" id="3"/>
    <tableColumn name="Data" id="4"/>
    <tableColumn name="Alternativa" id="5"/>
    <tableColumn name="Confiança" id="6"/>
    <tableColumn name="Dificuldade" id="7"/>
    <tableColumn name="Ambiguidade" id="8"/>
    <tableColumn name="Força dos distratores" id="9"/>
    <tableColumn name="Tema" id="10"/>
    <tableColumn name="Subtema" id="11"/>
    <tableColumn name="Justificativa da resposta" id="12"/>
    <tableColumn name="Análise das alternativas" id="13"/>
    <tableColumn name="Justificativa da ambiguidade" id="14"/>
    <tableColumn name="Justificativa dos distratores" id="15"/>
  </tableColumns>
  <tableStyleInfo name="Respostas LLM-style" showColumnStripes="0" showFirstColumn="1" showLastColumn="1" showRowStripes="1"/>
</table>
</file>

<file path=xl/tables/table3.xml><?xml version="1.0" encoding="utf-8"?>
<table xmlns="http://schemas.openxmlformats.org/spreadsheetml/2006/main" ref="A1:O9" displayName="Consenso" name="Consenso" id="2">
  <tableColumns count="15">
    <tableColumn name="Questão " id="1"/>
    <tableColumn name="ChatGPT" id="2"/>
    <tableColumn name="Gemini" id="3"/>
    <tableColumn name="Claude" id="4"/>
    <tableColumn name="Consenso" id="5"/>
    <tableColumn name="Resposta Majoritária" id="6"/>
    <tableColumn name="Gabarito INEP" id="7"/>
    <tableColumn name="Acertos" id="8"/>
    <tableColumn name="Confiança média" id="9"/>
    <tableColumn name="Dificuldade média" id="10"/>
    <tableColumn name="Ambiguidade média" id="11"/>
    <tableColumn name="Ambiguidade máxima" id="12"/>
    <tableColumn name="Força dos distratores média" id="13"/>
    <tableColumn name="Concorda com INEP?" id="14"/>
    <tableColumn name="Classificação do resultado" id="15"/>
  </tableColumns>
  <tableStyleInfo name="Consenso-style" showColumnStripes="0" showFirstColumn="1" showLastColumn="1" showRowStripes="1"/>
</table>
</file>

<file path=xl/tables/table4.xml><?xml version="1.0" encoding="utf-8"?>
<table xmlns="http://schemas.openxmlformats.org/spreadsheetml/2006/main" ref="A1:G4" displayName="Prompts" name="Prompts" id="4">
  <tableColumns count="7">
    <tableColumn name="Nome do prompt" id="1"/>
    <tableColumn name="Versão" id="2"/>
    <tableColumn name="Finalidade" id="3"/>
    <tableColumn name="Modelos utilizados" id="4"/>
    <tableColumn name="Data de início" id="5"/>
    <tableColumn name="Status" id="6"/>
    <tableColumn name="Texto completo do prompt" id="7"/>
  </tableColumns>
  <tableStyleInfo name="Prompts-style" showColumnStripes="0" showFirstColumn="1" showLastColumn="1" showRowStripes="1"/>
</table>
</file>

<file path=xl/tables/table5.xml><?xml version="1.0" encoding="utf-8"?>
<table xmlns="http://schemas.openxmlformats.org/spreadsheetml/2006/main" ref="A1:B9" displayName="Gabarito_INEP" name="Gabarito_INEP" id="5">
  <tableColumns count="2">
    <tableColumn name="Questão " id="1"/>
    <tableColumn name="Gabarito INEP" id="2"/>
  </tableColumns>
  <tableStyleInfo name="Gabarito_INE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6.25"/>
  </cols>
  <sheetData>
    <row r="1" ht="22.5" customHeight="1">
      <c r="A1" s="1" t="s">
        <v>1</v>
      </c>
      <c r="B1" s="1" t="s">
        <v>3</v>
      </c>
      <c r="C1" s="1" t="s">
        <v>6</v>
      </c>
      <c r="D1" s="3" t="s">
        <v>8</v>
      </c>
      <c r="E1" s="3" t="s">
        <v>10</v>
      </c>
    </row>
    <row r="2" ht="26.25" customHeight="1">
      <c r="A2" s="4" t="s">
        <v>14</v>
      </c>
      <c r="B2" s="5" t="s">
        <v>22</v>
      </c>
      <c r="C2" s="6" t="s">
        <v>30</v>
      </c>
      <c r="D2" s="5" t="s">
        <v>36</v>
      </c>
      <c r="E2" s="7" t="s">
        <v>39</v>
      </c>
    </row>
    <row r="3" ht="26.25" customHeight="1">
      <c r="A3" s="4" t="s">
        <v>51</v>
      </c>
      <c r="B3" s="5" t="s">
        <v>22</v>
      </c>
      <c r="C3" s="6" t="s">
        <v>54</v>
      </c>
      <c r="D3" s="5" t="s">
        <v>55</v>
      </c>
      <c r="E3" s="7" t="s">
        <v>39</v>
      </c>
    </row>
    <row r="4" ht="26.25" customHeight="1">
      <c r="A4" s="22" t="s">
        <v>58</v>
      </c>
      <c r="B4" s="24" t="s">
        <v>61</v>
      </c>
      <c r="C4" s="27" t="s">
        <v>64</v>
      </c>
      <c r="D4" s="24" t="s">
        <v>55</v>
      </c>
      <c r="E4" s="30" t="s">
        <v>39</v>
      </c>
    </row>
    <row r="5" ht="26.25" customHeight="1">
      <c r="A5" s="4" t="s">
        <v>72</v>
      </c>
      <c r="B5" s="5" t="s">
        <v>61</v>
      </c>
      <c r="C5" s="6" t="s">
        <v>73</v>
      </c>
      <c r="D5" s="5" t="s">
        <v>36</v>
      </c>
      <c r="E5" s="7" t="s">
        <v>39</v>
      </c>
    </row>
    <row r="6" ht="26.25" customHeight="1">
      <c r="A6" s="22" t="s">
        <v>75</v>
      </c>
      <c r="B6" s="24" t="s">
        <v>61</v>
      </c>
      <c r="C6" s="27" t="s">
        <v>77</v>
      </c>
      <c r="D6" s="24" t="s">
        <v>36</v>
      </c>
      <c r="E6" s="30" t="s">
        <v>39</v>
      </c>
    </row>
    <row r="7" ht="26.25" customHeight="1">
      <c r="A7" s="22" t="s">
        <v>78</v>
      </c>
      <c r="B7" s="24" t="s">
        <v>61</v>
      </c>
      <c r="C7" s="27" t="s">
        <v>80</v>
      </c>
      <c r="D7" s="24" t="s">
        <v>55</v>
      </c>
      <c r="E7" s="30" t="s">
        <v>39</v>
      </c>
    </row>
    <row r="8" ht="26.25" customHeight="1">
      <c r="A8" s="4" t="s">
        <v>81</v>
      </c>
      <c r="B8" s="5" t="s">
        <v>61</v>
      </c>
      <c r="C8" s="6" t="s">
        <v>84</v>
      </c>
      <c r="D8" s="5" t="s">
        <v>55</v>
      </c>
      <c r="E8" s="7" t="s">
        <v>39</v>
      </c>
    </row>
    <row r="9" ht="26.25" customHeight="1">
      <c r="A9" s="22" t="s">
        <v>88</v>
      </c>
      <c r="B9" s="24" t="s">
        <v>61</v>
      </c>
      <c r="C9" s="53" t="s">
        <v>91</v>
      </c>
      <c r="D9" s="54" t="s">
        <v>55</v>
      </c>
      <c r="E9" s="54" t="s">
        <v>39</v>
      </c>
    </row>
  </sheetData>
  <dataValidations>
    <dataValidation type="list" allowBlank="1" sqref="D2:D9">
      <formula1>"Sim,Não"</formula1>
    </dataValidation>
    <dataValidation type="list" allowBlank="1" sqref="B2:B9">
      <formula1>"Formação Geral,Componente Específico Comum,Componente Específico — Ciência da Computação"</formula1>
    </dataValidation>
    <dataValidation allowBlank="1" showDropDown="1" sqref="A2:A9"/>
    <dataValidation allowBlank="1" showDropDown="1" sqref="C2:C9"/>
    <dataValidation type="list" allowBlank="1" sqref="E2:E9">
      <formula1>"Não iniciada,Em resolução pelas LLMs,Judge concluído,Em revisão humana,Finalizada"</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2" t="s">
        <v>0</v>
      </c>
      <c r="B1" s="1" t="s">
        <v>4</v>
      </c>
      <c r="C1" s="1" t="s">
        <v>16</v>
      </c>
      <c r="D1" s="1" t="s">
        <v>18</v>
      </c>
      <c r="E1" s="1" t="s">
        <v>19</v>
      </c>
      <c r="F1" s="3" t="s">
        <v>21</v>
      </c>
      <c r="G1" s="3" t="s">
        <v>24</v>
      </c>
      <c r="H1" s="3" t="s">
        <v>26</v>
      </c>
      <c r="I1" s="3" t="s">
        <v>41</v>
      </c>
      <c r="J1" s="3" t="s">
        <v>42</v>
      </c>
      <c r="K1" s="3" t="s">
        <v>43</v>
      </c>
      <c r="L1" s="3" t="s">
        <v>44</v>
      </c>
      <c r="M1" s="3" t="s">
        <v>45</v>
      </c>
      <c r="N1" s="3" t="s">
        <v>47</v>
      </c>
      <c r="O1" s="3" t="s">
        <v>48</v>
      </c>
    </row>
    <row r="2" ht="26.25" customHeight="1">
      <c r="A2" s="12" t="s">
        <v>35</v>
      </c>
      <c r="B2" s="13" t="s">
        <v>2</v>
      </c>
      <c r="C2" s="15" t="s">
        <v>52</v>
      </c>
      <c r="D2" s="17">
        <v>46293.0</v>
      </c>
      <c r="E2" s="19" t="s">
        <v>57</v>
      </c>
      <c r="F2" s="20">
        <v>96.0</v>
      </c>
      <c r="G2" s="20">
        <v>3.0</v>
      </c>
      <c r="H2" s="20">
        <v>1.0</v>
      </c>
      <c r="I2" s="21">
        <v>2.0</v>
      </c>
      <c r="J2" s="23" t="s">
        <v>60</v>
      </c>
      <c r="K2" s="23" t="s">
        <v>63</v>
      </c>
      <c r="L2" s="26" t="s">
        <v>65</v>
      </c>
      <c r="M2" s="26" t="s">
        <v>67</v>
      </c>
      <c r="N2" s="26" t="s">
        <v>69</v>
      </c>
      <c r="O2" s="32" t="s">
        <v>70</v>
      </c>
    </row>
    <row r="3" ht="26.25" customHeight="1">
      <c r="A3" s="36" t="s">
        <v>35</v>
      </c>
      <c r="B3" s="38" t="s">
        <v>5</v>
      </c>
      <c r="C3" s="40" t="s">
        <v>76</v>
      </c>
      <c r="D3" s="17">
        <v>46293.0</v>
      </c>
      <c r="E3" s="44" t="s">
        <v>57</v>
      </c>
      <c r="F3" s="46">
        <v>100.0</v>
      </c>
      <c r="G3" s="46">
        <v>2.0</v>
      </c>
      <c r="H3" s="46">
        <v>1.0</v>
      </c>
      <c r="I3" s="47">
        <v>1.0</v>
      </c>
      <c r="J3" s="49" t="s">
        <v>82</v>
      </c>
      <c r="K3" s="49" t="s">
        <v>83</v>
      </c>
      <c r="L3" s="51" t="s">
        <v>86</v>
      </c>
      <c r="M3" s="51" t="s">
        <v>87</v>
      </c>
      <c r="N3" s="51" t="s">
        <v>89</v>
      </c>
      <c r="O3" s="52" t="s">
        <v>90</v>
      </c>
    </row>
    <row r="4" ht="26.25" customHeight="1">
      <c r="A4" s="12" t="s">
        <v>35</v>
      </c>
      <c r="B4" s="56" t="s">
        <v>7</v>
      </c>
      <c r="C4" s="56" t="s">
        <v>92</v>
      </c>
      <c r="D4" s="17">
        <v>46293.0</v>
      </c>
      <c r="E4" s="57" t="s">
        <v>57</v>
      </c>
      <c r="F4" s="58">
        <v>70.0</v>
      </c>
      <c r="G4" s="58">
        <v>2.0</v>
      </c>
      <c r="H4" s="58">
        <v>1.0</v>
      </c>
      <c r="I4" s="59">
        <v>1.0</v>
      </c>
      <c r="J4" s="6" t="s">
        <v>82</v>
      </c>
      <c r="K4" s="60" t="s">
        <v>93</v>
      </c>
      <c r="L4" s="62" t="s">
        <v>94</v>
      </c>
      <c r="M4" s="62" t="s">
        <v>95</v>
      </c>
      <c r="N4" s="62" t="s">
        <v>96</v>
      </c>
      <c r="O4" s="64" t="s">
        <v>97</v>
      </c>
    </row>
    <row r="5" ht="26.25" customHeight="1">
      <c r="A5" s="36" t="s">
        <v>79</v>
      </c>
      <c r="B5" s="66" t="s">
        <v>2</v>
      </c>
      <c r="C5" s="67" t="s">
        <v>52</v>
      </c>
      <c r="D5" s="17">
        <v>46293.0</v>
      </c>
      <c r="E5" s="68" t="s">
        <v>105</v>
      </c>
      <c r="F5" s="69">
        <v>98.0</v>
      </c>
      <c r="G5" s="69">
        <v>3.0</v>
      </c>
      <c r="H5" s="69">
        <v>0.0</v>
      </c>
      <c r="I5" s="70">
        <v>1.0</v>
      </c>
      <c r="J5" s="71" t="s">
        <v>107</v>
      </c>
      <c r="K5" s="71" t="s">
        <v>108</v>
      </c>
      <c r="L5" s="72" t="s">
        <v>110</v>
      </c>
      <c r="M5" s="72" t="s">
        <v>111</v>
      </c>
      <c r="N5" s="72" t="s">
        <v>112</v>
      </c>
      <c r="O5" s="74" t="s">
        <v>113</v>
      </c>
    </row>
    <row r="6" ht="26.25" customHeight="1">
      <c r="A6" s="12" t="s">
        <v>79</v>
      </c>
      <c r="B6" s="75" t="s">
        <v>5</v>
      </c>
      <c r="C6" s="76" t="s">
        <v>76</v>
      </c>
      <c r="D6" s="17">
        <v>46293.0</v>
      </c>
      <c r="E6" s="57" t="s">
        <v>99</v>
      </c>
      <c r="F6" s="58">
        <v>95.0</v>
      </c>
      <c r="G6" s="58">
        <v>3.0</v>
      </c>
      <c r="H6" s="58">
        <v>0.0</v>
      </c>
      <c r="I6" s="59">
        <v>1.0</v>
      </c>
      <c r="J6" s="60" t="s">
        <v>82</v>
      </c>
      <c r="K6" s="60" t="s">
        <v>107</v>
      </c>
      <c r="L6" s="62" t="s">
        <v>114</v>
      </c>
      <c r="M6" s="62" t="s">
        <v>115</v>
      </c>
      <c r="N6" s="62" t="s">
        <v>116</v>
      </c>
      <c r="O6" s="64" t="s">
        <v>117</v>
      </c>
    </row>
    <row r="7" ht="26.25" customHeight="1">
      <c r="A7" s="36" t="s">
        <v>79</v>
      </c>
      <c r="B7" s="77" t="s">
        <v>7</v>
      </c>
      <c r="C7" s="77" t="s">
        <v>92</v>
      </c>
      <c r="D7" s="17">
        <v>46293.0</v>
      </c>
      <c r="E7" s="68" t="s">
        <v>105</v>
      </c>
      <c r="F7" s="69">
        <v>72.0</v>
      </c>
      <c r="G7" s="69">
        <v>3.0</v>
      </c>
      <c r="H7" s="69">
        <v>1.0</v>
      </c>
      <c r="I7" s="78">
        <v>2.0</v>
      </c>
      <c r="J7" s="71" t="s">
        <v>82</v>
      </c>
      <c r="K7" s="71" t="s">
        <v>118</v>
      </c>
      <c r="L7" s="72" t="s">
        <v>119</v>
      </c>
      <c r="M7" s="72" t="s">
        <v>120</v>
      </c>
      <c r="N7" s="72" t="s">
        <v>121</v>
      </c>
      <c r="O7" s="74" t="s">
        <v>122</v>
      </c>
    </row>
    <row r="8" ht="26.25" customHeight="1">
      <c r="A8" s="4" t="s">
        <v>98</v>
      </c>
      <c r="B8" s="79" t="s">
        <v>2</v>
      </c>
      <c r="C8" s="80" t="s">
        <v>52</v>
      </c>
      <c r="D8" s="17">
        <v>46293.0</v>
      </c>
      <c r="E8" s="57" t="s">
        <v>100</v>
      </c>
      <c r="F8" s="58">
        <v>99.0</v>
      </c>
      <c r="G8" s="58">
        <v>3.0</v>
      </c>
      <c r="H8" s="58">
        <v>0.0</v>
      </c>
      <c r="I8" s="59">
        <v>2.0</v>
      </c>
      <c r="J8" s="60" t="s">
        <v>123</v>
      </c>
      <c r="K8" s="60" t="s">
        <v>124</v>
      </c>
      <c r="L8" s="62" t="s">
        <v>125</v>
      </c>
      <c r="M8" s="62" t="s">
        <v>126</v>
      </c>
      <c r="N8" s="62" t="s">
        <v>127</v>
      </c>
      <c r="O8" s="64" t="s">
        <v>128</v>
      </c>
    </row>
    <row r="9" ht="26.25" customHeight="1">
      <c r="A9" s="22" t="s">
        <v>98</v>
      </c>
      <c r="B9" s="81" t="s">
        <v>5</v>
      </c>
      <c r="C9" s="82" t="s">
        <v>76</v>
      </c>
      <c r="D9" s="17">
        <v>46293.0</v>
      </c>
      <c r="E9" s="68" t="s">
        <v>100</v>
      </c>
      <c r="F9" s="69">
        <v>100.0</v>
      </c>
      <c r="G9" s="69">
        <v>2.0</v>
      </c>
      <c r="H9" s="69">
        <v>0.0</v>
      </c>
      <c r="I9" s="78">
        <v>1.0</v>
      </c>
      <c r="J9" s="71" t="s">
        <v>129</v>
      </c>
      <c r="K9" s="71" t="s">
        <v>130</v>
      </c>
      <c r="L9" s="72" t="s">
        <v>131</v>
      </c>
      <c r="M9" s="72" t="s">
        <v>132</v>
      </c>
      <c r="N9" s="72" t="s">
        <v>133</v>
      </c>
      <c r="O9" s="74" t="s">
        <v>134</v>
      </c>
    </row>
    <row r="10" ht="26.25" customHeight="1">
      <c r="A10" s="4" t="s">
        <v>98</v>
      </c>
      <c r="B10" s="56" t="s">
        <v>7</v>
      </c>
      <c r="C10" s="56" t="s">
        <v>92</v>
      </c>
      <c r="D10" s="17">
        <v>46293.0</v>
      </c>
      <c r="E10" s="57" t="s">
        <v>100</v>
      </c>
      <c r="F10" s="58">
        <v>96.0</v>
      </c>
      <c r="G10" s="58">
        <v>2.0</v>
      </c>
      <c r="H10" s="58">
        <v>0.0</v>
      </c>
      <c r="I10" s="59">
        <v>1.0</v>
      </c>
      <c r="J10" s="60" t="s">
        <v>135</v>
      </c>
      <c r="K10" s="60" t="s">
        <v>136</v>
      </c>
      <c r="L10" s="62" t="s">
        <v>137</v>
      </c>
      <c r="M10" s="62" t="s">
        <v>138</v>
      </c>
      <c r="N10" s="62" t="s">
        <v>139</v>
      </c>
      <c r="O10" s="64" t="s">
        <v>140</v>
      </c>
    </row>
    <row r="11" ht="26.25" customHeight="1">
      <c r="A11" s="4" t="s">
        <v>101</v>
      </c>
      <c r="B11" s="79" t="s">
        <v>2</v>
      </c>
      <c r="C11" s="80" t="s">
        <v>52</v>
      </c>
      <c r="D11" s="17">
        <v>46293.0</v>
      </c>
      <c r="E11" s="57" t="s">
        <v>102</v>
      </c>
      <c r="F11" s="58">
        <v>99.0</v>
      </c>
      <c r="G11" s="58">
        <v>2.0</v>
      </c>
      <c r="H11" s="58">
        <v>0.0</v>
      </c>
      <c r="I11" s="59">
        <v>1.0</v>
      </c>
      <c r="J11" s="60" t="s">
        <v>141</v>
      </c>
      <c r="K11" s="60" t="s">
        <v>142</v>
      </c>
      <c r="L11" s="62" t="s">
        <v>143</v>
      </c>
      <c r="M11" s="62" t="s">
        <v>144</v>
      </c>
      <c r="N11" s="62" t="s">
        <v>145</v>
      </c>
      <c r="O11" s="64" t="s">
        <v>146</v>
      </c>
    </row>
    <row r="12" ht="26.25" customHeight="1">
      <c r="A12" s="22" t="s">
        <v>101</v>
      </c>
      <c r="B12" s="81" t="s">
        <v>5</v>
      </c>
      <c r="C12" s="82" t="s">
        <v>76</v>
      </c>
      <c r="D12" s="17">
        <v>46293.0</v>
      </c>
      <c r="E12" s="68" t="s">
        <v>102</v>
      </c>
      <c r="F12" s="69">
        <v>100.0</v>
      </c>
      <c r="G12" s="69">
        <v>2.0</v>
      </c>
      <c r="H12" s="69">
        <v>0.0</v>
      </c>
      <c r="I12" s="78">
        <v>1.0</v>
      </c>
      <c r="J12" s="71" t="s">
        <v>147</v>
      </c>
      <c r="K12" s="71" t="s">
        <v>148</v>
      </c>
      <c r="L12" s="72" t="s">
        <v>149</v>
      </c>
      <c r="M12" s="72" t="s">
        <v>150</v>
      </c>
      <c r="N12" s="72" t="s">
        <v>151</v>
      </c>
      <c r="O12" s="74" t="s">
        <v>152</v>
      </c>
    </row>
    <row r="13" ht="26.25" customHeight="1">
      <c r="A13" s="4" t="s">
        <v>101</v>
      </c>
      <c r="B13" s="56" t="s">
        <v>7</v>
      </c>
      <c r="C13" s="56" t="s">
        <v>92</v>
      </c>
      <c r="D13" s="17">
        <v>46293.0</v>
      </c>
      <c r="E13" s="57" t="s">
        <v>102</v>
      </c>
      <c r="F13" s="58">
        <v>97.0</v>
      </c>
      <c r="G13" s="58">
        <v>2.0</v>
      </c>
      <c r="H13" s="58">
        <v>0.0</v>
      </c>
      <c r="I13" s="59">
        <v>1.0</v>
      </c>
      <c r="J13" s="60" t="s">
        <v>153</v>
      </c>
      <c r="K13" s="60" t="s">
        <v>154</v>
      </c>
      <c r="L13" s="62" t="s">
        <v>155</v>
      </c>
      <c r="M13" s="62" t="s">
        <v>156</v>
      </c>
      <c r="N13" s="62" t="s">
        <v>157</v>
      </c>
      <c r="O13" s="64" t="s">
        <v>158</v>
      </c>
    </row>
    <row r="14" ht="26.25" customHeight="1">
      <c r="A14" s="22" t="s">
        <v>103</v>
      </c>
      <c r="B14" s="66" t="s">
        <v>2</v>
      </c>
      <c r="C14" s="67" t="s">
        <v>52</v>
      </c>
      <c r="D14" s="17">
        <v>46293.0</v>
      </c>
      <c r="E14" s="68" t="s">
        <v>99</v>
      </c>
      <c r="F14" s="69">
        <v>99.0</v>
      </c>
      <c r="G14" s="69">
        <v>3.0</v>
      </c>
      <c r="H14" s="69">
        <v>0.0</v>
      </c>
      <c r="I14" s="78">
        <v>1.0</v>
      </c>
      <c r="J14" s="71" t="s">
        <v>159</v>
      </c>
      <c r="K14" s="71" t="s">
        <v>160</v>
      </c>
      <c r="L14" s="72" t="s">
        <v>161</v>
      </c>
      <c r="M14" s="72" t="s">
        <v>162</v>
      </c>
      <c r="N14" s="72" t="s">
        <v>163</v>
      </c>
      <c r="O14" s="74" t="s">
        <v>164</v>
      </c>
    </row>
    <row r="15" ht="26.25" customHeight="1">
      <c r="A15" s="4" t="s">
        <v>103</v>
      </c>
      <c r="B15" s="75" t="s">
        <v>5</v>
      </c>
      <c r="C15" s="76" t="s">
        <v>76</v>
      </c>
      <c r="D15" s="17">
        <v>46293.0</v>
      </c>
      <c r="E15" s="57" t="s">
        <v>100</v>
      </c>
      <c r="F15" s="58">
        <v>100.0</v>
      </c>
      <c r="G15" s="58">
        <v>3.0</v>
      </c>
      <c r="H15" s="58">
        <v>0.0</v>
      </c>
      <c r="I15" s="59">
        <v>1.0</v>
      </c>
      <c r="J15" s="60" t="s">
        <v>165</v>
      </c>
      <c r="K15" s="60" t="s">
        <v>166</v>
      </c>
      <c r="L15" s="62" t="s">
        <v>167</v>
      </c>
      <c r="M15" s="62" t="s">
        <v>168</v>
      </c>
      <c r="N15" s="62" t="s">
        <v>169</v>
      </c>
      <c r="O15" s="64" t="s">
        <v>170</v>
      </c>
    </row>
    <row r="16" ht="26.25" customHeight="1">
      <c r="A16" s="22" t="s">
        <v>103</v>
      </c>
      <c r="B16" s="77" t="s">
        <v>7</v>
      </c>
      <c r="C16" s="77" t="s">
        <v>92</v>
      </c>
      <c r="D16" s="17">
        <v>46293.0</v>
      </c>
      <c r="E16" s="68" t="s">
        <v>100</v>
      </c>
      <c r="F16" s="69">
        <v>80.0</v>
      </c>
      <c r="G16" s="69">
        <v>3.0</v>
      </c>
      <c r="H16" s="69">
        <v>1.0</v>
      </c>
      <c r="I16" s="78">
        <v>2.0</v>
      </c>
      <c r="J16" s="71" t="s">
        <v>171</v>
      </c>
      <c r="K16" s="71" t="s">
        <v>172</v>
      </c>
      <c r="L16" s="72" t="s">
        <v>173</v>
      </c>
      <c r="M16" s="72" t="s">
        <v>174</v>
      </c>
      <c r="N16" s="72" t="s">
        <v>175</v>
      </c>
      <c r="O16" s="74" t="s">
        <v>176</v>
      </c>
    </row>
    <row r="17" ht="26.25" customHeight="1">
      <c r="A17" s="22" t="s">
        <v>104</v>
      </c>
      <c r="B17" s="66" t="s">
        <v>2</v>
      </c>
      <c r="C17" s="67" t="s">
        <v>52</v>
      </c>
      <c r="D17" s="17">
        <v>46293.0</v>
      </c>
      <c r="E17" s="68" t="s">
        <v>99</v>
      </c>
      <c r="F17" s="69">
        <v>99.0</v>
      </c>
      <c r="G17" s="69">
        <v>3.0</v>
      </c>
      <c r="H17" s="69">
        <v>0.0</v>
      </c>
      <c r="I17" s="78">
        <v>1.0</v>
      </c>
      <c r="J17" s="71" t="s">
        <v>177</v>
      </c>
      <c r="K17" s="71" t="s">
        <v>178</v>
      </c>
      <c r="L17" s="72" t="s">
        <v>179</v>
      </c>
      <c r="M17" s="72" t="s">
        <v>180</v>
      </c>
      <c r="N17" s="72" t="s">
        <v>181</v>
      </c>
      <c r="O17" s="74" t="s">
        <v>182</v>
      </c>
    </row>
    <row r="18" ht="26.25" customHeight="1">
      <c r="A18" s="4" t="s">
        <v>104</v>
      </c>
      <c r="B18" s="75" t="s">
        <v>5</v>
      </c>
      <c r="C18" s="76" t="s">
        <v>76</v>
      </c>
      <c r="D18" s="17">
        <v>46293.0</v>
      </c>
      <c r="E18" s="57" t="s">
        <v>99</v>
      </c>
      <c r="F18" s="58">
        <v>100.0</v>
      </c>
      <c r="G18" s="58">
        <v>2.0</v>
      </c>
      <c r="H18" s="58">
        <v>0.0</v>
      </c>
      <c r="I18" s="59">
        <v>1.0</v>
      </c>
      <c r="J18" s="60" t="s">
        <v>183</v>
      </c>
      <c r="K18" s="60" t="s">
        <v>184</v>
      </c>
      <c r="L18" s="62" t="s">
        <v>185</v>
      </c>
      <c r="M18" s="62" t="s">
        <v>186</v>
      </c>
      <c r="N18" s="62" t="s">
        <v>187</v>
      </c>
      <c r="O18" s="64" t="s">
        <v>188</v>
      </c>
    </row>
    <row r="19" ht="26.25" customHeight="1">
      <c r="A19" s="22" t="s">
        <v>104</v>
      </c>
      <c r="B19" s="77" t="s">
        <v>7</v>
      </c>
      <c r="C19" s="77" t="s">
        <v>92</v>
      </c>
      <c r="D19" s="17">
        <v>46293.0</v>
      </c>
      <c r="E19" s="68" t="s">
        <v>99</v>
      </c>
      <c r="F19" s="69">
        <v>95.0</v>
      </c>
      <c r="G19" s="69">
        <v>2.0</v>
      </c>
      <c r="H19" s="69">
        <v>0.0</v>
      </c>
      <c r="I19" s="78">
        <v>1.0</v>
      </c>
      <c r="J19" s="71" t="s">
        <v>183</v>
      </c>
      <c r="K19" s="71" t="s">
        <v>189</v>
      </c>
      <c r="L19" s="72" t="s">
        <v>190</v>
      </c>
      <c r="M19" s="72" t="s">
        <v>191</v>
      </c>
      <c r="N19" s="72" t="s">
        <v>192</v>
      </c>
      <c r="O19" s="74" t="s">
        <v>193</v>
      </c>
    </row>
    <row r="20" ht="26.25" customHeight="1">
      <c r="A20" s="83" t="s">
        <v>106</v>
      </c>
      <c r="B20" s="84" t="s">
        <v>2</v>
      </c>
      <c r="C20" s="84" t="s">
        <v>52</v>
      </c>
      <c r="D20" s="17">
        <v>46293.0</v>
      </c>
      <c r="E20" s="85" t="s">
        <v>57</v>
      </c>
      <c r="F20" s="86">
        <v>98.0</v>
      </c>
      <c r="G20" s="86">
        <v>3.0</v>
      </c>
      <c r="H20" s="86">
        <v>0.0</v>
      </c>
      <c r="I20" s="87">
        <v>2.0</v>
      </c>
      <c r="J20" s="83" t="s">
        <v>194</v>
      </c>
      <c r="K20" s="83" t="s">
        <v>195</v>
      </c>
      <c r="L20" s="88" t="s">
        <v>196</v>
      </c>
      <c r="M20" s="88" t="s">
        <v>197</v>
      </c>
      <c r="N20" s="88" t="s">
        <v>198</v>
      </c>
      <c r="O20" s="88" t="s">
        <v>199</v>
      </c>
    </row>
    <row r="21" ht="26.25" customHeight="1">
      <c r="A21" s="83" t="s">
        <v>106</v>
      </c>
      <c r="B21" s="84" t="s">
        <v>5</v>
      </c>
      <c r="C21" s="84" t="s">
        <v>76</v>
      </c>
      <c r="D21" s="17">
        <v>46293.0</v>
      </c>
      <c r="E21" s="85" t="s">
        <v>57</v>
      </c>
      <c r="F21" s="86">
        <v>100.0</v>
      </c>
      <c r="G21" s="86">
        <v>3.0</v>
      </c>
      <c r="H21" s="86">
        <v>0.0</v>
      </c>
      <c r="I21" s="87">
        <v>1.0</v>
      </c>
      <c r="J21" s="83" t="s">
        <v>200</v>
      </c>
      <c r="K21" s="83" t="s">
        <v>201</v>
      </c>
      <c r="L21" s="88" t="s">
        <v>202</v>
      </c>
      <c r="M21" s="88" t="s">
        <v>203</v>
      </c>
      <c r="N21" s="88" t="s">
        <v>204</v>
      </c>
      <c r="O21" s="88" t="s">
        <v>205</v>
      </c>
    </row>
    <row r="22" ht="26.25" customHeight="1">
      <c r="A22" s="83" t="s">
        <v>106</v>
      </c>
      <c r="B22" s="84" t="s">
        <v>7</v>
      </c>
      <c r="C22" s="84" t="s">
        <v>92</v>
      </c>
      <c r="D22" s="17">
        <v>46293.0</v>
      </c>
      <c r="E22" s="85" t="s">
        <v>57</v>
      </c>
      <c r="F22" s="86">
        <v>85.0</v>
      </c>
      <c r="G22" s="86">
        <v>3.0</v>
      </c>
      <c r="H22" s="86">
        <v>1.0</v>
      </c>
      <c r="I22" s="87">
        <v>2.0</v>
      </c>
      <c r="J22" s="83" t="s">
        <v>206</v>
      </c>
      <c r="K22" s="83" t="s">
        <v>207</v>
      </c>
      <c r="L22" s="88" t="s">
        <v>208</v>
      </c>
      <c r="M22" s="88" t="s">
        <v>209</v>
      </c>
      <c r="N22" s="88" t="s">
        <v>210</v>
      </c>
      <c r="O22" s="88" t="s">
        <v>211</v>
      </c>
    </row>
    <row r="23" ht="26.25" customHeight="1">
      <c r="A23" s="83" t="s">
        <v>109</v>
      </c>
      <c r="B23" s="84" t="s">
        <v>2</v>
      </c>
      <c r="C23" s="84" t="s">
        <v>52</v>
      </c>
      <c r="D23" s="17">
        <v>46293.0</v>
      </c>
      <c r="E23" s="85" t="s">
        <v>99</v>
      </c>
      <c r="F23" s="86">
        <v>99.0</v>
      </c>
      <c r="G23" s="86">
        <v>3.0</v>
      </c>
      <c r="H23" s="86">
        <v>0.0</v>
      </c>
      <c r="I23" s="87">
        <v>2.0</v>
      </c>
      <c r="J23" s="83" t="s">
        <v>212</v>
      </c>
      <c r="K23" s="83" t="s">
        <v>213</v>
      </c>
      <c r="L23" s="88" t="s">
        <v>214</v>
      </c>
      <c r="M23" s="88" t="s">
        <v>215</v>
      </c>
      <c r="N23" s="88" t="s">
        <v>216</v>
      </c>
      <c r="O23" s="88" t="s">
        <v>217</v>
      </c>
    </row>
    <row r="24" ht="26.25" customHeight="1">
      <c r="A24" s="83" t="s">
        <v>109</v>
      </c>
      <c r="B24" s="84" t="s">
        <v>5</v>
      </c>
      <c r="C24" s="84" t="s">
        <v>76</v>
      </c>
      <c r="D24" s="17">
        <v>46293.0</v>
      </c>
      <c r="E24" s="85" t="s">
        <v>99</v>
      </c>
      <c r="F24" s="86">
        <v>100.0</v>
      </c>
      <c r="G24" s="86">
        <v>2.0</v>
      </c>
      <c r="H24" s="86">
        <v>0.0</v>
      </c>
      <c r="I24" s="87">
        <v>1.0</v>
      </c>
      <c r="J24" s="83" t="s">
        <v>218</v>
      </c>
      <c r="K24" s="83" t="s">
        <v>219</v>
      </c>
      <c r="L24" s="88" t="s">
        <v>220</v>
      </c>
      <c r="M24" s="88" t="s">
        <v>221</v>
      </c>
      <c r="N24" s="88" t="s">
        <v>222</v>
      </c>
      <c r="O24" s="88" t="s">
        <v>223</v>
      </c>
    </row>
    <row r="25" ht="26.25" customHeight="1">
      <c r="A25" s="83" t="s">
        <v>109</v>
      </c>
      <c r="B25" s="84" t="s">
        <v>7</v>
      </c>
      <c r="C25" s="84" t="s">
        <v>92</v>
      </c>
      <c r="D25" s="17">
        <v>46293.0</v>
      </c>
      <c r="E25" s="85" t="s">
        <v>99</v>
      </c>
      <c r="F25" s="86">
        <v>93.0</v>
      </c>
      <c r="G25" s="86">
        <v>2.0</v>
      </c>
      <c r="H25" s="86">
        <v>0.0</v>
      </c>
      <c r="I25" s="87">
        <v>1.0</v>
      </c>
      <c r="J25" s="83" t="s">
        <v>224</v>
      </c>
      <c r="K25" s="83" t="s">
        <v>225</v>
      </c>
      <c r="L25" s="88" t="s">
        <v>226</v>
      </c>
      <c r="M25" s="88" t="s">
        <v>227</v>
      </c>
      <c r="N25" s="88" t="s">
        <v>228</v>
      </c>
      <c r="O25" s="88" t="s">
        <v>229</v>
      </c>
    </row>
  </sheetData>
  <dataValidations>
    <dataValidation type="list" allowBlank="1" sqref="E2:E25">
      <formula1>"A,B,C,D,E"</formula1>
    </dataValidation>
    <dataValidation type="list" allowBlank="1" sqref="B2:B25">
      <formula1>"ChatGPT,Gemini,Claude"</formula1>
    </dataValidation>
    <dataValidation type="custom" allowBlank="1" showDropDown="1" sqref="D2:D25">
      <formula1>OR(NOT(ISERROR(DATEVALUE(D2))), AND(ISNUMBER(D2), LEFT(CELL("format", D2))="D"))</formula1>
    </dataValidation>
    <dataValidation allowBlank="1" showDropDown="1" sqref="A2:A25"/>
    <dataValidation type="list" allowBlank="1" sqref="C2:C25">
      <formula1>"Gemini 3.6 Flash,Sonnet 5,GPT-5.6 Luna"</formula1>
    </dataValidation>
    <dataValidation type="custom" allowBlank="1" showDropDown="1" sqref="F2:H25">
      <formula1>AND(ISNUMBER(F2),(NOT(OR(NOT(ISERROR(DATEVALUE(F2))), AND(ISNUMBER(F2), LEFT(CELL("format", F2))="D")))))</formula1>
    </dataValidation>
    <dataValidation allowBlank="1" showDropDown="1" sqref="J2:K25"/>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1</v>
      </c>
      <c r="B1" s="1" t="s">
        <v>2</v>
      </c>
      <c r="C1" s="1" t="s">
        <v>5</v>
      </c>
      <c r="D1" s="1" t="s">
        <v>7</v>
      </c>
      <c r="E1" s="1" t="s">
        <v>9</v>
      </c>
      <c r="F1" s="3" t="s">
        <v>11</v>
      </c>
      <c r="G1" s="3" t="s">
        <v>12</v>
      </c>
      <c r="H1" s="3" t="s">
        <v>15</v>
      </c>
      <c r="I1" s="3" t="s">
        <v>17</v>
      </c>
      <c r="J1" s="3" t="s">
        <v>20</v>
      </c>
      <c r="K1" s="3" t="s">
        <v>23</v>
      </c>
      <c r="L1" s="3" t="s">
        <v>25</v>
      </c>
      <c r="M1" s="3" t="s">
        <v>27</v>
      </c>
      <c r="N1" s="3" t="s">
        <v>29</v>
      </c>
      <c r="O1" s="3" t="s">
        <v>33</v>
      </c>
    </row>
    <row r="2" ht="22.5" customHeight="1">
      <c r="A2" s="4" t="s">
        <v>35</v>
      </c>
      <c r="B2" s="9" t="str">
        <f>IFERROR(__xludf.DUMMYFUNCTION("IFERROR(INDEX(FILTER('Respostas LLM'!$E:$E,'Respostas LLM'!$A:$A=$A2,'Respostas LLM'!$B:$B=""ChatGPT""),1),"""")"),"C")</f>
        <v>C</v>
      </c>
      <c r="C2" s="9" t="str">
        <f>IFERROR(__xludf.DUMMYFUNCTION("IFERROR(INDEX(FILTER('Respostas LLM'!$E:$E,'Respostas LLM'!$A:$A=$A2,'Respostas LLM'!$B:$B=""Gemini""),1),"""")"),"C")</f>
        <v>C</v>
      </c>
      <c r="D2" s="9" t="str">
        <f>IFERROR(__xludf.DUMMYFUNCTION("IFERROR(INDEX(FILTER('Respostas LLM'!$E:$E,'Respostas LLM'!$A:$A=$A2,'Respostas LLM'!$B:$B=""Claude""),1),"""")"),"C")</f>
        <v>C</v>
      </c>
      <c r="E2" s="9" t="str">
        <f t="shared" ref="E2:E9" si="1">IF(OR(B2="",C2="",D2=""),"",IF(AND(B2=C2,C2=D2),"3/3",IF(OR(B2=C2,B2=D2,C2=D2),"2/3","0/3")))</f>
        <v>3/3</v>
      </c>
      <c r="F2" s="9" t="str">
        <f t="shared" ref="F2:F9" si="2">IF(OR(B2="",C2="",D2=""),"",IF(B2=C2,B2,IF(B2=D2,B2,IF(C2=D2,C2,"Sem maioria"))))</f>
        <v>C</v>
      </c>
      <c r="G2" s="9" t="str">
        <f>IFERROR(__xludf.DUMMYFUNCTION("IFERROR(INDEX(FILTER(Gabarito_INEP!$B:$B,Gabarito_INEP!$A:$A=$A2),1),"""")"),"C")</f>
        <v>C</v>
      </c>
      <c r="H2" s="9" t="str">
        <f t="shared" ref="H2:H9" si="3">IF(G2="","",COUNTIF(B2:D2,G2)&amp;"/3")</f>
        <v>3/3</v>
      </c>
      <c r="I2" s="29">
        <f>IFERROR(__xludf.DUMMYFUNCTION("IFERROR(AVERAGE(FILTER('Respostas LLM'!$F:$F,'Respostas LLM'!$A:$A=$A2)),"""")"),88.66666666666667)</f>
        <v>88.66666667</v>
      </c>
      <c r="J2" s="29">
        <f>IFERROR(__xludf.DUMMYFUNCTION("IFERROR(AVERAGE(FILTER('Respostas LLM'!$G:$G,'Respostas LLM'!$A:$A=$A2,'Respostas LLM'!$G:$G&lt;&gt;"""")),"""")"),2.3333333333333335)</f>
        <v>2.333333333</v>
      </c>
      <c r="K2" s="29">
        <f>IFERROR(__xludf.DUMMYFUNCTION("IFERROR(AVERAGE(FILTER('Respostas LLM'!$H:$H,'Respostas LLM'!$A:$A=$A2)),"""")"),1.0)</f>
        <v>1</v>
      </c>
      <c r="L2" s="29">
        <f>IFERROR(__xludf.DUMMYFUNCTION("IFERROR(MAX(FILTER('Respostas LLM'!$H:$H,'Respostas LLM'!$A:$A=$A2)),"""")"),1.0)</f>
        <v>1</v>
      </c>
      <c r="M2" s="29">
        <f>IFERROR(__xludf.DUMMYFUNCTION("IFERROR(AVERAGE(FILTER('Respostas LLM'!$I:$I,'Respostas LLM'!$A:$A=$A2)),"""")"),1.3333333333333333)</f>
        <v>1.333333333</v>
      </c>
      <c r="N2" s="9" t="str">
        <f t="shared" ref="N2:N9" si="4">IF(OR(F2="",G2=""),"",IF(F2="Sem maioria","Sem maioria",IF(F2=G2,"Sim","Não")))</f>
        <v>Sim</v>
      </c>
      <c r="O2" s="43" t="str">
        <f t="shared" ref="O2:O9" si="5">IF(G2="","",IF(G2="ANULADA","Questão anulada",IF(E2="3/3",IF(H2="3/3","Consenso unânime correto","Consenso unânime incorreto"),IF(E2="2/3",IF(H2="2/3","Maioria correta — 1 LLM divergiu",IF(H2="1/3","Maioria incorreta — 1 LLM acertou","Maioria incorreta — nenhuma LLM acertou")),IF(E2="0/3",IF(H2="1/3","Sem consenso — 1 LLM acertou","Sem consenso — nenhuma LLM acertou"),"")))))</f>
        <v>Consenso unânime correto</v>
      </c>
    </row>
    <row r="3" ht="22.5" customHeight="1">
      <c r="A3" s="4" t="s">
        <v>79</v>
      </c>
      <c r="B3" s="48" t="str">
        <f>IFERROR(__xludf.DUMMYFUNCTION("IFERROR(INDEX(FILTER('Respostas LLM'!$E:$E,'Respostas LLM'!$A:$A=$A3,'Respostas LLM'!$B:$B=""ChatGPT""),1),"""")"),"A")</f>
        <v>A</v>
      </c>
      <c r="C3" s="48" t="str">
        <f>IFERROR(__xludf.DUMMYFUNCTION("IFERROR(INDEX(FILTER('Respostas LLM'!$E:$E,'Respostas LLM'!$A:$A=$A3,'Respostas LLM'!$B:$B=""Gemini""),1),"""")"),"B")</f>
        <v>B</v>
      </c>
      <c r="D3" s="48" t="str">
        <f>IFERROR(__xludf.DUMMYFUNCTION("IFERROR(INDEX(FILTER('Respostas LLM'!$E:$E,'Respostas LLM'!$A:$A=$A3,'Respostas LLM'!$B:$B=""Claude""),1),"""")"),"A")</f>
        <v>A</v>
      </c>
      <c r="E3" s="48" t="str">
        <f t="shared" si="1"/>
        <v>2/3</v>
      </c>
      <c r="F3" s="48" t="str">
        <f t="shared" si="2"/>
        <v>A</v>
      </c>
      <c r="G3" s="48" t="str">
        <f>IFERROR(__xludf.DUMMYFUNCTION("IFERROR(INDEX(FILTER(Gabarito_INEP!$B:$B,Gabarito_INEP!$A:$A=$A3),1),"""")"),"B")</f>
        <v>B</v>
      </c>
      <c r="H3" s="48" t="str">
        <f t="shared" si="3"/>
        <v>1/3</v>
      </c>
      <c r="I3" s="55">
        <f>IFERROR(__xludf.DUMMYFUNCTION("IFERROR(AVERAGE(FILTER('Respostas LLM'!$F:$F,'Respostas LLM'!$A:$A=$A3)),"""")"),88.33333333333333)</f>
        <v>88.33333333</v>
      </c>
      <c r="J3" s="55">
        <f>IFERROR(__xludf.DUMMYFUNCTION("IFERROR(AVERAGE(FILTER('Respostas LLM'!$G:$G,'Respostas LLM'!$A:$A=$A3,'Respostas LLM'!$G:$G&lt;&gt;"""")),"""")"),3.0)</f>
        <v>3</v>
      </c>
      <c r="K3" s="55">
        <f>IFERROR(__xludf.DUMMYFUNCTION("IFERROR(AVERAGE(FILTER('Respostas LLM'!$H:$H,'Respostas LLM'!$A:$A=$A3)),"""")"),0.3333333333333333)</f>
        <v>0.3333333333</v>
      </c>
      <c r="L3" s="55">
        <f>IFERROR(__xludf.DUMMYFUNCTION("IFERROR(MAX(FILTER('Respostas LLM'!$H:$H,'Respostas LLM'!$A:$A=$A3)),"""")"),1.0)</f>
        <v>1</v>
      </c>
      <c r="M3" s="55">
        <f>IFERROR(__xludf.DUMMYFUNCTION("IFERROR(AVERAGE(FILTER('Respostas LLM'!$I:$I,'Respostas LLM'!$A:$A=$A3)),"""")"),1.3333333333333333)</f>
        <v>1.333333333</v>
      </c>
      <c r="N3" s="48" t="str">
        <f t="shared" si="4"/>
        <v>Não</v>
      </c>
      <c r="O3" s="61" t="str">
        <f t="shared" si="5"/>
        <v>Maioria incorreta — 1 LLM acertou</v>
      </c>
    </row>
    <row r="4" ht="22.5" customHeight="1">
      <c r="A4" s="22" t="s">
        <v>98</v>
      </c>
      <c r="B4" s="9" t="str">
        <f>IFERROR(__xludf.DUMMYFUNCTION("IFERROR(INDEX(FILTER('Respostas LLM'!$E:$E,'Respostas LLM'!$A:$A=$A4,'Respostas LLM'!$B:$B=""ChatGPT""),1),"""")"),"D")</f>
        <v>D</v>
      </c>
      <c r="C4" s="9" t="str">
        <f>IFERROR(__xludf.DUMMYFUNCTION("IFERROR(INDEX(FILTER('Respostas LLM'!$E:$E,'Respostas LLM'!$A:$A=$A4,'Respostas LLM'!$B:$B=""Gemini""),1),"""")"),"D")</f>
        <v>D</v>
      </c>
      <c r="D4" s="9" t="str">
        <f>IFERROR(__xludf.DUMMYFUNCTION("IFERROR(INDEX(FILTER('Respostas LLM'!$E:$E,'Respostas LLM'!$A:$A=$A4,'Respostas LLM'!$B:$B=""Claude""),1),"""")"),"D")</f>
        <v>D</v>
      </c>
      <c r="E4" s="9" t="str">
        <f t="shared" si="1"/>
        <v>3/3</v>
      </c>
      <c r="F4" s="9" t="str">
        <f t="shared" si="2"/>
        <v>D</v>
      </c>
      <c r="G4" s="9" t="str">
        <f>IFERROR(__xludf.DUMMYFUNCTION("IFERROR(INDEX(FILTER(Gabarito_INEP!$B:$B,Gabarito_INEP!$A:$A=$A4),1),"""")"),"D")</f>
        <v>D</v>
      </c>
      <c r="H4" s="9" t="str">
        <f t="shared" si="3"/>
        <v>3/3</v>
      </c>
      <c r="I4" s="29">
        <f>IFERROR(__xludf.DUMMYFUNCTION("IFERROR(AVERAGE(FILTER('Respostas LLM'!$F:$F,'Respostas LLM'!$A:$A=$A4)),"""")"),98.33333333333333)</f>
        <v>98.33333333</v>
      </c>
      <c r="J4" s="29">
        <f>IFERROR(__xludf.DUMMYFUNCTION("IFERROR(AVERAGE(FILTER('Respostas LLM'!$G:$G,'Respostas LLM'!$A:$A=$A4,'Respostas LLM'!$G:$G&lt;&gt;"""")),"""")"),2.3333333333333335)</f>
        <v>2.333333333</v>
      </c>
      <c r="K4" s="29">
        <f>IFERROR(__xludf.DUMMYFUNCTION("IFERROR(AVERAGE(FILTER('Respostas LLM'!$H:$H,'Respostas LLM'!$A:$A=$A4)),"""")"),0.0)</f>
        <v>0</v>
      </c>
      <c r="L4" s="29">
        <f>IFERROR(__xludf.DUMMYFUNCTION("IFERROR(MAX(FILTER('Respostas LLM'!$H:$H,'Respostas LLM'!$A:$A=$A4)),"""")"),0.0)</f>
        <v>0</v>
      </c>
      <c r="M4" s="29">
        <f>IFERROR(__xludf.DUMMYFUNCTION("IFERROR(AVERAGE(FILTER('Respostas LLM'!$I:$I,'Respostas LLM'!$A:$A=$A4)),"""")"),1.3333333333333333)</f>
        <v>1.333333333</v>
      </c>
      <c r="N4" s="9" t="str">
        <f t="shared" si="4"/>
        <v>Sim</v>
      </c>
      <c r="O4" s="43" t="str">
        <f t="shared" si="5"/>
        <v>Consenso unânime correto</v>
      </c>
    </row>
    <row r="5" ht="22.5" customHeight="1">
      <c r="A5" s="4" t="s">
        <v>101</v>
      </c>
      <c r="B5" s="48" t="str">
        <f>IFERROR(__xludf.DUMMYFUNCTION("IFERROR(INDEX(FILTER('Respostas LLM'!$E:$E,'Respostas LLM'!$A:$A=$A5,'Respostas LLM'!$B:$B=""ChatGPT""),1),"""")"),"E")</f>
        <v>E</v>
      </c>
      <c r="C5" s="48" t="str">
        <f>IFERROR(__xludf.DUMMYFUNCTION("IFERROR(INDEX(FILTER('Respostas LLM'!$E:$E,'Respostas LLM'!$A:$A=$A5,'Respostas LLM'!$B:$B=""Gemini""),1),"""")"),"E")</f>
        <v>E</v>
      </c>
      <c r="D5" s="48" t="str">
        <f>IFERROR(__xludf.DUMMYFUNCTION("IFERROR(INDEX(FILTER('Respostas LLM'!$E:$E,'Respostas LLM'!$A:$A=$A5,'Respostas LLM'!$B:$B=""Claude""),1),"""")"),"E")</f>
        <v>E</v>
      </c>
      <c r="E5" s="48" t="str">
        <f t="shared" si="1"/>
        <v>3/3</v>
      </c>
      <c r="F5" s="48" t="str">
        <f t="shared" si="2"/>
        <v>E</v>
      </c>
      <c r="G5" s="48" t="str">
        <f>IFERROR(__xludf.DUMMYFUNCTION("IFERROR(INDEX(FILTER(Gabarito_INEP!$B:$B,Gabarito_INEP!$A:$A=$A5),1),"""")"),"E")</f>
        <v>E</v>
      </c>
      <c r="H5" s="48" t="str">
        <f t="shared" si="3"/>
        <v>3/3</v>
      </c>
      <c r="I5" s="55">
        <f>IFERROR(__xludf.DUMMYFUNCTION("IFERROR(AVERAGE(FILTER('Respostas LLM'!$F:$F,'Respostas LLM'!$A:$A=$A5)),"""")"),98.66666666666667)</f>
        <v>98.66666667</v>
      </c>
      <c r="J5" s="55">
        <f>IFERROR(__xludf.DUMMYFUNCTION("IFERROR(AVERAGE(FILTER('Respostas LLM'!$G:$G,'Respostas LLM'!$A:$A=$A5,'Respostas LLM'!$G:$G&lt;&gt;"""")),"""")"),2.0)</f>
        <v>2</v>
      </c>
      <c r="K5" s="55">
        <f>IFERROR(__xludf.DUMMYFUNCTION("IFERROR(AVERAGE(FILTER('Respostas LLM'!$H:$H,'Respostas LLM'!$A:$A=$A5)),"""")"),0.0)</f>
        <v>0</v>
      </c>
      <c r="L5" s="55">
        <f>IFERROR(__xludf.DUMMYFUNCTION("IFERROR(MAX(FILTER('Respostas LLM'!$H:$H,'Respostas LLM'!$A:$A=$A5)),"""")"),0.0)</f>
        <v>0</v>
      </c>
      <c r="M5" s="55">
        <f>IFERROR(__xludf.DUMMYFUNCTION("IFERROR(AVERAGE(FILTER('Respostas LLM'!$I:$I,'Respostas LLM'!$A:$A=$A5)),"""")"),1.0)</f>
        <v>1</v>
      </c>
      <c r="N5" s="48" t="str">
        <f t="shared" si="4"/>
        <v>Sim</v>
      </c>
      <c r="O5" s="61" t="str">
        <f t="shared" si="5"/>
        <v>Consenso unânime correto</v>
      </c>
    </row>
    <row r="6" ht="22.5" customHeight="1">
      <c r="A6" s="22" t="s">
        <v>103</v>
      </c>
      <c r="B6" s="9" t="str">
        <f>IFERROR(__xludf.DUMMYFUNCTION("IFERROR(INDEX(FILTER('Respostas LLM'!$E:$E,'Respostas LLM'!$A:$A=$A6,'Respostas LLM'!$B:$B=""ChatGPT""),1),"""")"),"B")</f>
        <v>B</v>
      </c>
      <c r="C6" s="9" t="str">
        <f>IFERROR(__xludf.DUMMYFUNCTION("IFERROR(INDEX(FILTER('Respostas LLM'!$E:$E,'Respostas LLM'!$A:$A=$A6,'Respostas LLM'!$B:$B=""Gemini""),1),"""")"),"D")</f>
        <v>D</v>
      </c>
      <c r="D6" s="9" t="str">
        <f>IFERROR(__xludf.DUMMYFUNCTION("IFERROR(INDEX(FILTER('Respostas LLM'!$E:$E,'Respostas LLM'!$A:$A=$A6,'Respostas LLM'!$B:$B=""Claude""),1),"""")"),"D")</f>
        <v>D</v>
      </c>
      <c r="E6" s="9" t="str">
        <f t="shared" si="1"/>
        <v>2/3</v>
      </c>
      <c r="F6" s="9" t="str">
        <f t="shared" si="2"/>
        <v>D</v>
      </c>
      <c r="G6" s="9" t="str">
        <f>IFERROR(__xludf.DUMMYFUNCTION("IFERROR(INDEX(FILTER(Gabarito_INEP!$B:$B,Gabarito_INEP!$A:$A=$A6),1),"""")"),"D")</f>
        <v>D</v>
      </c>
      <c r="H6" s="9" t="str">
        <f t="shared" si="3"/>
        <v>2/3</v>
      </c>
      <c r="I6" s="29">
        <f>IFERROR(__xludf.DUMMYFUNCTION("IFERROR(AVERAGE(FILTER('Respostas LLM'!$F:$F,'Respostas LLM'!$A:$A=$A6)),"""")"),93.0)</f>
        <v>93</v>
      </c>
      <c r="J6" s="29">
        <f>IFERROR(__xludf.DUMMYFUNCTION("IFERROR(AVERAGE(FILTER('Respostas LLM'!$G:$G,'Respostas LLM'!$A:$A=$A6,'Respostas LLM'!$G:$G&lt;&gt;"""")),"""")"),3.0)</f>
        <v>3</v>
      </c>
      <c r="K6" s="29">
        <f>IFERROR(__xludf.DUMMYFUNCTION("IFERROR(AVERAGE(FILTER('Respostas LLM'!$H:$H,'Respostas LLM'!$A:$A=$A6)),"""")"),0.3333333333333333)</f>
        <v>0.3333333333</v>
      </c>
      <c r="L6" s="29">
        <f>IFERROR(__xludf.DUMMYFUNCTION("IFERROR(MAX(FILTER('Respostas LLM'!$H:$H,'Respostas LLM'!$A:$A=$A6)),"""")"),1.0)</f>
        <v>1</v>
      </c>
      <c r="M6" s="29">
        <f>IFERROR(__xludf.DUMMYFUNCTION("IFERROR(AVERAGE(FILTER('Respostas LLM'!$I:$I,'Respostas LLM'!$A:$A=$A6)),"""")"),1.3333333333333333)</f>
        <v>1.333333333</v>
      </c>
      <c r="N6" s="9" t="str">
        <f t="shared" si="4"/>
        <v>Sim</v>
      </c>
      <c r="O6" s="43" t="str">
        <f t="shared" si="5"/>
        <v>Maioria correta — 1 LLM divergiu</v>
      </c>
    </row>
    <row r="7" ht="22.5" customHeight="1">
      <c r="A7" s="22" t="s">
        <v>104</v>
      </c>
      <c r="B7" s="48" t="str">
        <f>IFERROR(__xludf.DUMMYFUNCTION("IFERROR(INDEX(FILTER('Respostas LLM'!$E:$E,'Respostas LLM'!$A:$A=$A7,'Respostas LLM'!$B:$B=""ChatGPT""),1),"""")"),"B")</f>
        <v>B</v>
      </c>
      <c r="C7" s="48" t="str">
        <f>IFERROR(__xludf.DUMMYFUNCTION("IFERROR(INDEX(FILTER('Respostas LLM'!$E:$E,'Respostas LLM'!$A:$A=$A7,'Respostas LLM'!$B:$B=""Gemini""),1),"""")"),"B")</f>
        <v>B</v>
      </c>
      <c r="D7" s="48" t="str">
        <f>IFERROR(__xludf.DUMMYFUNCTION("IFERROR(INDEX(FILTER('Respostas LLM'!$E:$E,'Respostas LLM'!$A:$A=$A7,'Respostas LLM'!$B:$B=""Claude""),1),"""")"),"B")</f>
        <v>B</v>
      </c>
      <c r="E7" s="48" t="str">
        <f t="shared" si="1"/>
        <v>3/3</v>
      </c>
      <c r="F7" s="48" t="str">
        <f t="shared" si="2"/>
        <v>B</v>
      </c>
      <c r="G7" s="48" t="str">
        <f>IFERROR(__xludf.DUMMYFUNCTION("IFERROR(INDEX(FILTER(Gabarito_INEP!$B:$B,Gabarito_INEP!$A:$A=$A7),1),"""")"),"B")</f>
        <v>B</v>
      </c>
      <c r="H7" s="48" t="str">
        <f t="shared" si="3"/>
        <v>3/3</v>
      </c>
      <c r="I7" s="55">
        <f>IFERROR(__xludf.DUMMYFUNCTION("IFERROR(AVERAGE(FILTER('Respostas LLM'!$F:$F,'Respostas LLM'!$A:$A=$A7)),"""")"),98.0)</f>
        <v>98</v>
      </c>
      <c r="J7" s="55">
        <f>IFERROR(__xludf.DUMMYFUNCTION("IFERROR(AVERAGE(FILTER('Respostas LLM'!$G:$G,'Respostas LLM'!$A:$A=$A7,'Respostas LLM'!$G:$G&lt;&gt;"""")),"""")"),2.3333333333333335)</f>
        <v>2.333333333</v>
      </c>
      <c r="K7" s="55">
        <f>IFERROR(__xludf.DUMMYFUNCTION("IFERROR(AVERAGE(FILTER('Respostas LLM'!$H:$H,'Respostas LLM'!$A:$A=$A7)),"""")"),0.0)</f>
        <v>0</v>
      </c>
      <c r="L7" s="55">
        <f>IFERROR(__xludf.DUMMYFUNCTION("IFERROR(MAX(FILTER('Respostas LLM'!$H:$H,'Respostas LLM'!$A:$A=$A7)),"""")"),0.0)</f>
        <v>0</v>
      </c>
      <c r="M7" s="55">
        <f>IFERROR(__xludf.DUMMYFUNCTION("IFERROR(AVERAGE(FILTER('Respostas LLM'!$I:$I,'Respostas LLM'!$A:$A=$A7)),"""")"),1.0)</f>
        <v>1</v>
      </c>
      <c r="N7" s="48" t="str">
        <f t="shared" si="4"/>
        <v>Sim</v>
      </c>
      <c r="O7" s="61" t="str">
        <f t="shared" si="5"/>
        <v>Consenso unânime correto</v>
      </c>
    </row>
    <row r="8" ht="22.5" customHeight="1">
      <c r="A8" s="4" t="s">
        <v>106</v>
      </c>
      <c r="B8" s="9" t="str">
        <f>IFERROR(__xludf.DUMMYFUNCTION("IFERROR(INDEX(FILTER('Respostas LLM'!$E:$E,'Respostas LLM'!$A:$A=$A8,'Respostas LLM'!$B:$B=""ChatGPT""),1),"""")"),"C")</f>
        <v>C</v>
      </c>
      <c r="C8" s="9" t="str">
        <f>IFERROR(__xludf.DUMMYFUNCTION("IFERROR(INDEX(FILTER('Respostas LLM'!$E:$E,'Respostas LLM'!$A:$A=$A8,'Respostas LLM'!$B:$B=""Gemini""),1),"""")"),"C")</f>
        <v>C</v>
      </c>
      <c r="D8" s="9" t="str">
        <f>IFERROR(__xludf.DUMMYFUNCTION("IFERROR(INDEX(FILTER('Respostas LLM'!$E:$E,'Respostas LLM'!$A:$A=$A8,'Respostas LLM'!$B:$B=""Claude""),1),"""")"),"C")</f>
        <v>C</v>
      </c>
      <c r="E8" s="9" t="str">
        <f t="shared" si="1"/>
        <v>3/3</v>
      </c>
      <c r="F8" s="9" t="str">
        <f t="shared" si="2"/>
        <v>C</v>
      </c>
      <c r="G8" s="9" t="str">
        <f>IFERROR(__xludf.DUMMYFUNCTION("IFERROR(INDEX(FILTER(Gabarito_INEP!$B:$B,Gabarito_INEP!$A:$A=$A8),1),"""")"),"C")</f>
        <v>C</v>
      </c>
      <c r="H8" s="9" t="str">
        <f t="shared" si="3"/>
        <v>3/3</v>
      </c>
      <c r="I8" s="29">
        <f>IFERROR(__xludf.DUMMYFUNCTION("IFERROR(AVERAGE(FILTER('Respostas LLM'!$F:$F,'Respostas LLM'!$A:$A=$A8)),"""")"),94.33333333333333)</f>
        <v>94.33333333</v>
      </c>
      <c r="J8" s="29">
        <f>IFERROR(__xludf.DUMMYFUNCTION("IFERROR(AVERAGE(FILTER('Respostas LLM'!$G:$G,'Respostas LLM'!$A:$A=$A8,'Respostas LLM'!$G:$G&lt;&gt;"""")),"""")"),3.0)</f>
        <v>3</v>
      </c>
      <c r="K8" s="29">
        <f>IFERROR(__xludf.DUMMYFUNCTION("IFERROR(AVERAGE(FILTER('Respostas LLM'!$H:$H,'Respostas LLM'!$A:$A=$A8)),"""")"),0.3333333333333333)</f>
        <v>0.3333333333</v>
      </c>
      <c r="L8" s="29">
        <f>IFERROR(__xludf.DUMMYFUNCTION("IFERROR(MAX(FILTER('Respostas LLM'!$H:$H,'Respostas LLM'!$A:$A=$A8)),"""")"),1.0)</f>
        <v>1</v>
      </c>
      <c r="M8" s="29">
        <f>IFERROR(__xludf.DUMMYFUNCTION("IFERROR(AVERAGE(FILTER('Respostas LLM'!$I:$I,'Respostas LLM'!$A:$A=$A8)),"""")"),1.6666666666666667)</f>
        <v>1.666666667</v>
      </c>
      <c r="N8" s="9" t="str">
        <f t="shared" si="4"/>
        <v>Sim</v>
      </c>
      <c r="O8" s="43" t="str">
        <f t="shared" si="5"/>
        <v>Consenso unânime correto</v>
      </c>
    </row>
    <row r="9" ht="22.5" customHeight="1">
      <c r="A9" s="22" t="s">
        <v>109</v>
      </c>
      <c r="B9" s="48" t="str">
        <f>IFERROR(__xludf.DUMMYFUNCTION("IFERROR(INDEX(FILTER('Respostas LLM'!$E:$E,'Respostas LLM'!$A:$A=$A9,'Respostas LLM'!$B:$B=""ChatGPT""),1),"""")"),"B")</f>
        <v>B</v>
      </c>
      <c r="C9" s="48" t="str">
        <f>IFERROR(__xludf.DUMMYFUNCTION("IFERROR(INDEX(FILTER('Respostas LLM'!$E:$E,'Respostas LLM'!$A:$A=$A9,'Respostas LLM'!$B:$B=""Gemini""),1),"""")"),"B")</f>
        <v>B</v>
      </c>
      <c r="D9" s="48" t="str">
        <f>IFERROR(__xludf.DUMMYFUNCTION("IFERROR(INDEX(FILTER('Respostas LLM'!$E:$E,'Respostas LLM'!$A:$A=$A9,'Respostas LLM'!$B:$B=""Claude""),1),"""")"),"B")</f>
        <v>B</v>
      </c>
      <c r="E9" s="48" t="str">
        <f t="shared" si="1"/>
        <v>3/3</v>
      </c>
      <c r="F9" s="48" t="str">
        <f t="shared" si="2"/>
        <v>B</v>
      </c>
      <c r="G9" s="48" t="str">
        <f>IFERROR(__xludf.DUMMYFUNCTION("IFERROR(INDEX(FILTER(Gabarito_INEP!$B:$B,Gabarito_INEP!$A:$A=$A9),1),"""")"),"B")</f>
        <v>B</v>
      </c>
      <c r="H9" s="48" t="str">
        <f t="shared" si="3"/>
        <v>3/3</v>
      </c>
      <c r="I9" s="55">
        <f>IFERROR(__xludf.DUMMYFUNCTION("IFERROR(AVERAGE(FILTER('Respostas LLM'!$F:$F,'Respostas LLM'!$A:$A=$A9)),"""")"),97.33333333333333)</f>
        <v>97.33333333</v>
      </c>
      <c r="J9" s="55">
        <f>IFERROR(__xludf.DUMMYFUNCTION("IFERROR(AVERAGE(FILTER('Respostas LLM'!$G:$G,'Respostas LLM'!$A:$A=$A9,'Respostas LLM'!$G:$G&lt;&gt;"""")),"""")"),2.3333333333333335)</f>
        <v>2.333333333</v>
      </c>
      <c r="K9" s="55">
        <f>IFERROR(__xludf.DUMMYFUNCTION("IFERROR(AVERAGE(FILTER('Respostas LLM'!$H:$H,'Respostas LLM'!$A:$A=$A9)),"""")"),0.0)</f>
        <v>0</v>
      </c>
      <c r="L9" s="55">
        <f>IFERROR(__xludf.DUMMYFUNCTION("IFERROR(MAX(FILTER('Respostas LLM'!$H:$H,'Respostas LLM'!$A:$A=$A9)),"""")"),0.0)</f>
        <v>0</v>
      </c>
      <c r="M9" s="55">
        <f>IFERROR(__xludf.DUMMYFUNCTION("IFERROR(AVERAGE(FILTER('Respostas LLM'!$I:$I,'Respostas LLM'!$A:$A=$A9)),"""")"),1.3333333333333333)</f>
        <v>1.333333333</v>
      </c>
      <c r="N9" s="48" t="str">
        <f t="shared" si="4"/>
        <v>Sim</v>
      </c>
      <c r="O9" s="61" t="str">
        <f t="shared" si="5"/>
        <v>Consenso unânime correto</v>
      </c>
    </row>
  </sheetData>
  <dataValidations>
    <dataValidation allowBlank="1" showDropDown="1" sqref="A2:A9"/>
    <dataValidation type="custom" allowBlank="1" showDropDown="1" sqref="I2:I9 K2:K9">
      <formula1>AND(ISNUMBER(I2),(NOT(OR(NOT(ISERROR(DATEVALUE(I2))), AND(ISNUMBER(I2), LEFT(CELL("format", I2))="D")))))</formula1>
    </dataValidation>
    <dataValidation allowBlank="1" showDropDown="1" sqref="B2:F9 N2:N9"/>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13</v>
      </c>
      <c r="B1" s="1" t="s">
        <v>28</v>
      </c>
      <c r="C1" s="1" t="s">
        <v>31</v>
      </c>
      <c r="D1" s="1" t="s">
        <v>32</v>
      </c>
      <c r="E1" s="3" t="s">
        <v>34</v>
      </c>
      <c r="F1" s="3" t="s">
        <v>37</v>
      </c>
      <c r="G1" s="3" t="s">
        <v>38</v>
      </c>
    </row>
    <row r="2" ht="26.25" customHeight="1">
      <c r="A2" s="8" t="s">
        <v>40</v>
      </c>
      <c r="B2" s="10" t="s">
        <v>46</v>
      </c>
      <c r="C2" s="11" t="s">
        <v>49</v>
      </c>
      <c r="D2" s="10" t="s">
        <v>50</v>
      </c>
      <c r="E2" s="14">
        <v>46264.0</v>
      </c>
      <c r="F2" s="16" t="s">
        <v>53</v>
      </c>
      <c r="G2" s="18" t="s">
        <v>56</v>
      </c>
    </row>
    <row r="3" ht="26.25" customHeight="1">
      <c r="A3" s="12" t="s">
        <v>59</v>
      </c>
      <c r="B3" s="25" t="s">
        <v>62</v>
      </c>
      <c r="C3" s="28" t="s">
        <v>66</v>
      </c>
      <c r="D3" s="25" t="s">
        <v>68</v>
      </c>
      <c r="E3" s="31">
        <v>46264.0</v>
      </c>
      <c r="F3" s="33" t="s">
        <v>53</v>
      </c>
      <c r="G3" s="34" t="s">
        <v>71</v>
      </c>
    </row>
    <row r="4" ht="26.25" customHeight="1">
      <c r="A4" s="35" t="s">
        <v>59</v>
      </c>
      <c r="B4" s="37"/>
      <c r="C4" s="39" t="s">
        <v>74</v>
      </c>
      <c r="D4" s="41" t="s">
        <v>68</v>
      </c>
      <c r="E4" s="42">
        <v>46268.0</v>
      </c>
      <c r="F4" s="45" t="s">
        <v>53</v>
      </c>
      <c r="G4" s="50" t="s">
        <v>85</v>
      </c>
    </row>
  </sheetData>
  <dataValidations>
    <dataValidation type="custom" allowBlank="1" showDropDown="1" sqref="E2:E4">
      <formula1>OR(NOT(ISERROR(DATEVALUE(E2))), AND(ISNUMBER(E2), LEFT(CELL("format", E2))="D"))</formula1>
    </dataValidation>
    <dataValidation allowBlank="1" showDropDown="1" sqref="A2:A4"/>
    <dataValidation allowBlank="1" showDropDown="1" sqref="B2:B4 D2:D4"/>
    <dataValidation type="list" allowBlank="1" sqref="F2:F4">
      <formula1>"Ativo,Encerrado,Piloto"</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1</v>
      </c>
      <c r="B1" s="1" t="s">
        <v>12</v>
      </c>
    </row>
    <row r="2" ht="22.5" customHeight="1">
      <c r="A2" s="4" t="s">
        <v>35</v>
      </c>
      <c r="B2" s="63" t="s">
        <v>57</v>
      </c>
    </row>
    <row r="3" ht="22.5" customHeight="1">
      <c r="A3" s="4" t="s">
        <v>79</v>
      </c>
      <c r="B3" s="63" t="s">
        <v>99</v>
      </c>
    </row>
    <row r="4" ht="22.5" customHeight="1">
      <c r="A4" s="22" t="s">
        <v>98</v>
      </c>
      <c r="B4" s="65" t="s">
        <v>100</v>
      </c>
    </row>
    <row r="5" ht="22.5" customHeight="1">
      <c r="A5" s="4" t="s">
        <v>101</v>
      </c>
      <c r="B5" s="63" t="s">
        <v>102</v>
      </c>
    </row>
    <row r="6" ht="22.5" customHeight="1">
      <c r="A6" s="22" t="s">
        <v>103</v>
      </c>
      <c r="B6" s="65" t="s">
        <v>100</v>
      </c>
    </row>
    <row r="7" ht="22.5" customHeight="1">
      <c r="A7" s="22" t="s">
        <v>104</v>
      </c>
      <c r="B7" s="65" t="s">
        <v>99</v>
      </c>
    </row>
    <row r="8" ht="22.5" customHeight="1">
      <c r="A8" s="4" t="s">
        <v>106</v>
      </c>
      <c r="B8" s="63" t="s">
        <v>57</v>
      </c>
    </row>
    <row r="9" ht="22.5" customHeight="1">
      <c r="A9" s="22" t="s">
        <v>109</v>
      </c>
      <c r="B9" s="73" t="s">
        <v>99</v>
      </c>
    </row>
  </sheetData>
  <dataValidations>
    <dataValidation type="list" allowBlank="1" sqref="B2:B9">
      <formula1>"A,B,C,D,E"</formula1>
    </dataValidation>
    <dataValidation allowBlank="1" showDropDown="1" sqref="A2:A9"/>
  </dataValidations>
  <drawing r:id="rId1"/>
  <tableParts count="1">
    <tablePart r:id="rId3"/>
  </tableParts>
</worksheet>
</file>